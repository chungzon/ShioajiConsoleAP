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360" yWindow="120" windowWidth="28035" windowHeight="12345"/>
  </bookViews>
  <sheets>
    <sheet name="SSTK_VOL_FY_113" sheetId="1" r:id="rId1"/>
  </sheets>
  <calcPr calcId="144525"/>
</workbook>
</file>

<file path=xl/calcChain.xml><?xml version="1.0" encoding="utf-8"?>
<calcChain xmlns="http://schemas.openxmlformats.org/spreadsheetml/2006/main">
  <c r="B229" i="1" l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6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8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60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2" i="1"/>
  <c r="B91" i="1"/>
  <c r="B90" i="1"/>
  <c r="B89" i="1"/>
  <c r="B88" i="1"/>
  <c r="B87" i="1"/>
  <c r="B86" i="1"/>
  <c r="B85" i="1"/>
  <c r="B84" i="1"/>
  <c r="B83" i="1"/>
  <c r="B82" i="1"/>
  <c r="B81" i="1"/>
  <c r="B80" i="1"/>
  <c r="B79" i="1"/>
  <c r="B78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  <c r="B2" i="1"/>
</calcChain>
</file>

<file path=xl/sharedStrings.xml><?xml version="1.0" encoding="utf-8"?>
<sst xmlns="http://schemas.openxmlformats.org/spreadsheetml/2006/main" count="1065" uniqueCount="830">
  <si>
    <t>排 行</t>
  </si>
  <si>
    <t>富喬</t>
  </si>
  <si>
    <t>擎亞</t>
  </si>
  <si>
    <t>波若威</t>
  </si>
  <si>
    <t>新復興</t>
  </si>
  <si>
    <t>上詮</t>
  </si>
  <si>
    <t>精材</t>
  </si>
  <si>
    <t>元太</t>
  </si>
  <si>
    <t>華星光</t>
  </si>
  <si>
    <t>中美晶</t>
  </si>
  <si>
    <t>萬潤</t>
  </si>
  <si>
    <t>鈦昇</t>
  </si>
  <si>
    <t>聯亞</t>
  </si>
  <si>
    <t>南仁湖</t>
  </si>
  <si>
    <t>雷笛克光學</t>
  </si>
  <si>
    <t>正基</t>
  </si>
  <si>
    <t>尚立</t>
  </si>
  <si>
    <t>創威</t>
  </si>
  <si>
    <t>健椿</t>
  </si>
  <si>
    <t>陽程</t>
  </si>
  <si>
    <t>大立</t>
  </si>
  <si>
    <t>博磊</t>
  </si>
  <si>
    <t>岱稜</t>
  </si>
  <si>
    <t>桓達</t>
  </si>
  <si>
    <t>長佳智能</t>
  </si>
  <si>
    <t>鏵友益</t>
  </si>
  <si>
    <t>磐亞</t>
  </si>
  <si>
    <t>撼訊科技</t>
  </si>
  <si>
    <t>寶碩</t>
  </si>
  <si>
    <t>光耀</t>
  </si>
  <si>
    <t>北基國際</t>
  </si>
  <si>
    <t>世禾科技</t>
  </si>
  <si>
    <t>緯軟</t>
  </si>
  <si>
    <t>百德</t>
  </si>
  <si>
    <t>熒茂光學</t>
  </si>
  <si>
    <t>金雨企業</t>
  </si>
  <si>
    <t>高僑</t>
  </si>
  <si>
    <t>營邦</t>
  </si>
  <si>
    <t>泰茂</t>
  </si>
  <si>
    <t>精湛</t>
  </si>
  <si>
    <t>朋程</t>
  </si>
  <si>
    <t>駿吉-KY</t>
  </si>
  <si>
    <t>聚和國際</t>
  </si>
  <si>
    <t>御頂</t>
  </si>
  <si>
    <t>亞電</t>
  </si>
  <si>
    <t>公準</t>
  </si>
  <si>
    <t>智崴</t>
  </si>
  <si>
    <t>華景電</t>
  </si>
  <si>
    <t>青鋼</t>
  </si>
  <si>
    <t>同亨科技</t>
  </si>
  <si>
    <t>台灣嘉碩</t>
  </si>
  <si>
    <t>東浦</t>
  </si>
  <si>
    <t>風青</t>
  </si>
  <si>
    <t>千附實業</t>
  </si>
  <si>
    <t>晉倫科技</t>
  </si>
  <si>
    <t>光頡科技</t>
  </si>
  <si>
    <t>科嶠</t>
  </si>
  <si>
    <t>博智</t>
  </si>
  <si>
    <t>類比科</t>
  </si>
  <si>
    <t>晶宏</t>
  </si>
  <si>
    <t>富裔</t>
  </si>
  <si>
    <t>台康生技</t>
  </si>
  <si>
    <t>統振</t>
  </si>
  <si>
    <t>中華網龍</t>
  </si>
  <si>
    <t>李洲科技</t>
  </si>
  <si>
    <t>五福</t>
  </si>
  <si>
    <t>龍巖</t>
  </si>
  <si>
    <t>普誠科技</t>
  </si>
  <si>
    <t>德昌營造</t>
  </si>
  <si>
    <t>訊聯基因</t>
  </si>
  <si>
    <t>德勝科技</t>
  </si>
  <si>
    <t>群翊</t>
  </si>
  <si>
    <t>臺慶科</t>
  </si>
  <si>
    <t>亞信電子</t>
  </si>
  <si>
    <t>瑞耘</t>
  </si>
  <si>
    <t>德微</t>
  </si>
  <si>
    <t>鈺太</t>
  </si>
  <si>
    <t>富驊企業</t>
  </si>
  <si>
    <t>台灣銘板</t>
  </si>
  <si>
    <t>凌陽創新</t>
  </si>
  <si>
    <t>茂訊電腦</t>
  </si>
  <si>
    <t>德宏工業</t>
  </si>
  <si>
    <t>大世科</t>
  </si>
  <si>
    <t>全達國際</t>
  </si>
  <si>
    <t>皇龍</t>
  </si>
  <si>
    <t>千附精密</t>
  </si>
  <si>
    <t>宜鼎</t>
  </si>
  <si>
    <t>沛波</t>
  </si>
  <si>
    <t>富野</t>
  </si>
  <si>
    <t>太欣半導</t>
  </si>
  <si>
    <t>網路家庭</t>
  </si>
  <si>
    <t>建錩實業</t>
  </si>
  <si>
    <t>三聯科技</t>
  </si>
  <si>
    <t>勤凱</t>
  </si>
  <si>
    <t>日揚科技</t>
  </si>
  <si>
    <t>佳總興業</t>
  </si>
  <si>
    <t>精確</t>
  </si>
  <si>
    <t>海德威</t>
  </si>
  <si>
    <t>聖暉*</t>
  </si>
  <si>
    <t>長聖</t>
  </si>
  <si>
    <t>智冠</t>
  </si>
  <si>
    <t>友輝</t>
  </si>
  <si>
    <t>昱展新藥</t>
  </si>
  <si>
    <t>均華</t>
  </si>
  <si>
    <t>台灣艾華</t>
  </si>
  <si>
    <t>翔名科技</t>
  </si>
  <si>
    <t>森寶</t>
  </si>
  <si>
    <t>雍智科技</t>
  </si>
  <si>
    <t>鉅陞</t>
  </si>
  <si>
    <t>大億金茂</t>
  </si>
  <si>
    <t>智通</t>
  </si>
  <si>
    <t>陞達科技</t>
  </si>
  <si>
    <t>東洋藥品</t>
  </si>
  <si>
    <t>愛地雅</t>
  </si>
  <si>
    <t>久陽精密</t>
  </si>
  <si>
    <t>安鈦克</t>
  </si>
  <si>
    <t>耕興</t>
  </si>
  <si>
    <t>胡連精密</t>
  </si>
  <si>
    <t>利機企業</t>
  </si>
  <si>
    <t>維田</t>
  </si>
  <si>
    <t>花王企業</t>
  </si>
  <si>
    <t>力旺電子</t>
  </si>
  <si>
    <t>華義國際</t>
  </si>
  <si>
    <t>晶采光電</t>
  </si>
  <si>
    <t>世德</t>
  </si>
  <si>
    <t>歐買尬</t>
  </si>
  <si>
    <t>昱捷</t>
  </si>
  <si>
    <t>環天科技</t>
  </si>
  <si>
    <t>亞帝歐</t>
  </si>
  <si>
    <t>新華</t>
  </si>
  <si>
    <t>萬旭電業</t>
  </si>
  <si>
    <t>宇環科技</t>
  </si>
  <si>
    <t>寬宏藝術</t>
  </si>
  <si>
    <t>普萊德</t>
  </si>
  <si>
    <t>久元電子</t>
  </si>
  <si>
    <t>巨虹電子</t>
  </si>
  <si>
    <t>醣聯</t>
  </si>
  <si>
    <t>大江</t>
  </si>
  <si>
    <t>常珵科技</t>
  </si>
  <si>
    <t>崧騰</t>
  </si>
  <si>
    <t>易威</t>
  </si>
  <si>
    <t>國眾電腦</t>
  </si>
  <si>
    <t>淳紳</t>
  </si>
  <si>
    <t>大學光學</t>
  </si>
  <si>
    <t>生華科</t>
  </si>
  <si>
    <t>光明</t>
  </si>
  <si>
    <t>白紗科技</t>
  </si>
  <si>
    <t>立敦科技</t>
  </si>
  <si>
    <t>中菲行</t>
  </si>
  <si>
    <t>信驊</t>
  </si>
  <si>
    <t>迅德興業</t>
  </si>
  <si>
    <t>協益電子</t>
  </si>
  <si>
    <t>新鉅科</t>
  </si>
  <si>
    <t>冠好</t>
  </si>
  <si>
    <t>晶焱</t>
  </si>
  <si>
    <t>新盛力</t>
  </si>
  <si>
    <t>智捷</t>
  </si>
  <si>
    <t>天方能源</t>
  </si>
  <si>
    <t>昇佳電子</t>
  </si>
  <si>
    <t>新洲全球</t>
  </si>
  <si>
    <t>加高電子</t>
  </si>
  <si>
    <t>陸海交通</t>
  </si>
  <si>
    <t>點序</t>
  </si>
  <si>
    <t>宏碁資訊</t>
  </si>
  <si>
    <t>三顧</t>
  </si>
  <si>
    <t>凡甲科技</t>
  </si>
  <si>
    <t>宏碩系統</t>
  </si>
  <si>
    <t>鴻翊</t>
  </si>
  <si>
    <t>保銳科技</t>
  </si>
  <si>
    <t>長盛</t>
  </si>
  <si>
    <t>美達科技</t>
  </si>
  <si>
    <t>合騏</t>
  </si>
  <si>
    <t>世紀民生</t>
  </si>
  <si>
    <t>神準</t>
  </si>
  <si>
    <t>濟生</t>
  </si>
  <si>
    <t>志豐電子</t>
  </si>
  <si>
    <t>基亞</t>
  </si>
  <si>
    <t>安克</t>
  </si>
  <si>
    <t>加百裕</t>
  </si>
  <si>
    <t>星雲電腦</t>
  </si>
  <si>
    <t>台林電通</t>
  </si>
  <si>
    <t>亞元科技</t>
  </si>
  <si>
    <t>京晨科</t>
  </si>
  <si>
    <t>幃翔精密</t>
  </si>
  <si>
    <t>力麗店</t>
  </si>
  <si>
    <t>業強科技</t>
  </si>
  <si>
    <t>穩得</t>
  </si>
  <si>
    <t>泰詠電子</t>
  </si>
  <si>
    <t>環泰企業</t>
  </si>
  <si>
    <t>熱映光電</t>
  </si>
  <si>
    <t>昇銳電子</t>
  </si>
  <si>
    <t>萬國通路</t>
  </si>
  <si>
    <t>91APP*-KY</t>
  </si>
  <si>
    <t>台灣精星</t>
  </si>
  <si>
    <t>明安國際</t>
  </si>
  <si>
    <t>綠意開發</t>
  </si>
  <si>
    <t>聯一光</t>
  </si>
  <si>
    <t>森鉅科技</t>
  </si>
  <si>
    <t>永彰</t>
  </si>
  <si>
    <t>特昇-KY</t>
  </si>
  <si>
    <t>位速</t>
  </si>
  <si>
    <t>光聯科技</t>
  </si>
  <si>
    <t>保勝光學</t>
  </si>
  <si>
    <t>紘康</t>
  </si>
  <si>
    <t>建達國際</t>
  </si>
  <si>
    <t>豐謙</t>
  </si>
  <si>
    <t>合世生醫</t>
  </si>
  <si>
    <t>三一東林</t>
  </si>
  <si>
    <t>精拓科</t>
  </si>
  <si>
    <t>美琪瑪</t>
  </si>
  <si>
    <t>南良</t>
  </si>
  <si>
    <t>永日化工</t>
  </si>
  <si>
    <t>朋億*</t>
  </si>
  <si>
    <t>慕康生醫</t>
  </si>
  <si>
    <t>旭然</t>
  </si>
  <si>
    <t>恒耀</t>
  </si>
  <si>
    <t>邦泰</t>
  </si>
  <si>
    <t>大國鋼</t>
  </si>
  <si>
    <t>天剛資訊</t>
  </si>
  <si>
    <t>東隆興業</t>
  </si>
  <si>
    <t>大中</t>
  </si>
  <si>
    <t>紅木-KY</t>
  </si>
  <si>
    <t>亞泰</t>
  </si>
  <si>
    <t>皇將</t>
  </si>
  <si>
    <t>優盛醫學</t>
  </si>
  <si>
    <t>互動</t>
  </si>
  <si>
    <t>寬魚國際</t>
  </si>
  <si>
    <t>富宇地產</t>
  </si>
  <si>
    <t>元大期</t>
  </si>
  <si>
    <t>國邑*</t>
  </si>
  <si>
    <t>博晟生醫</t>
  </si>
  <si>
    <t>寶雅國際</t>
  </si>
  <si>
    <t>大樹</t>
  </si>
  <si>
    <t>天宇</t>
  </si>
  <si>
    <t>逸達</t>
  </si>
  <si>
    <t>微端</t>
  </si>
  <si>
    <t>美好證</t>
  </si>
  <si>
    <t>醫揚</t>
  </si>
  <si>
    <t>蒙恬科技</t>
  </si>
  <si>
    <t>哲固資訊</t>
  </si>
  <si>
    <t>同致電子</t>
  </si>
  <si>
    <t>光隆</t>
  </si>
  <si>
    <t>凱衛資訊</t>
  </si>
  <si>
    <t>映興</t>
  </si>
  <si>
    <t>晟田</t>
  </si>
  <si>
    <t>尼克森</t>
  </si>
  <si>
    <t>育富電子</t>
  </si>
  <si>
    <t>華研</t>
  </si>
  <si>
    <t>晟楠</t>
  </si>
  <si>
    <t>勁豐</t>
  </si>
  <si>
    <t>奇鈦科</t>
  </si>
  <si>
    <t>海韻電子</t>
  </si>
  <si>
    <t>六角</t>
  </si>
  <si>
    <t>瑞築</t>
  </si>
  <si>
    <t>盛弘</t>
  </si>
  <si>
    <t>安瑞-KY</t>
  </si>
  <si>
    <t>驊宏資通</t>
  </si>
  <si>
    <t>坤悅開發</t>
  </si>
  <si>
    <t>九齊</t>
  </si>
  <si>
    <t>立凱-KY</t>
  </si>
  <si>
    <t>岳豐科技</t>
  </si>
  <si>
    <t>中菲</t>
  </si>
  <si>
    <t>佰研生化</t>
  </si>
  <si>
    <t>森田印刷</t>
  </si>
  <si>
    <t>強生</t>
  </si>
  <si>
    <t>宇峻奧汀</t>
  </si>
  <si>
    <t>匯鑽科</t>
  </si>
  <si>
    <t>益得</t>
  </si>
  <si>
    <t>三貝德</t>
  </si>
  <si>
    <t>永純</t>
  </si>
  <si>
    <t>進能服</t>
  </si>
  <si>
    <t>華鎂鑫</t>
  </si>
  <si>
    <t>金利</t>
  </si>
  <si>
    <t>鈺緯</t>
  </si>
  <si>
    <t>安力-KY</t>
  </si>
  <si>
    <t>西勝</t>
  </si>
  <si>
    <t>詠昇</t>
  </si>
  <si>
    <t>東生華</t>
  </si>
  <si>
    <t>慧智</t>
  </si>
  <si>
    <t>宇智</t>
  </si>
  <si>
    <t>泰藝電子</t>
  </si>
  <si>
    <t>廣錠</t>
  </si>
  <si>
    <t>有益鋼鐵</t>
  </si>
  <si>
    <t>千如電機</t>
  </si>
  <si>
    <t>和勤</t>
  </si>
  <si>
    <t>健亞</t>
  </si>
  <si>
    <t>瑞基</t>
  </si>
  <si>
    <t>台翰</t>
  </si>
  <si>
    <t>易飛網</t>
  </si>
  <si>
    <t>旭源</t>
  </si>
  <si>
    <t>邦特生技</t>
  </si>
  <si>
    <t>全譜科技</t>
  </si>
  <si>
    <t>共信-KY</t>
  </si>
  <si>
    <t>滿心企業</t>
  </si>
  <si>
    <t>創業家</t>
  </si>
  <si>
    <t>逸昌</t>
  </si>
  <si>
    <t>久威國際</t>
  </si>
  <si>
    <t>欣普羅</t>
  </si>
  <si>
    <t>倚強科</t>
  </si>
  <si>
    <t>杰力</t>
  </si>
  <si>
    <t>是方</t>
  </si>
  <si>
    <t>大城地產</t>
  </si>
  <si>
    <t>應廣</t>
  </si>
  <si>
    <t>聿新科</t>
  </si>
  <si>
    <t>港建*</t>
  </si>
  <si>
    <t>弘帆</t>
  </si>
  <si>
    <t>軒郁</t>
  </si>
  <si>
    <t>好德科技</t>
  </si>
  <si>
    <t>亞泰金屬</t>
  </si>
  <si>
    <t>長園科</t>
  </si>
  <si>
    <t>IET-KY</t>
  </si>
  <si>
    <t>長佳</t>
  </si>
  <si>
    <t>盈正</t>
  </si>
  <si>
    <t>久裕</t>
  </si>
  <si>
    <t>鑫聯大投控</t>
  </si>
  <si>
    <t>曜亞國際</t>
  </si>
  <si>
    <t>矽瑪科技</t>
  </si>
  <si>
    <t>友華生技</t>
  </si>
  <si>
    <t>大園汽電</t>
  </si>
  <si>
    <t>全宇昕</t>
  </si>
  <si>
    <t>韋僑</t>
  </si>
  <si>
    <t>今展科</t>
  </si>
  <si>
    <t>崇友實業</t>
  </si>
  <si>
    <t>鉅橡</t>
  </si>
  <si>
    <t>凱鈺科技</t>
  </si>
  <si>
    <t>禾昌興業</t>
  </si>
  <si>
    <t>精測</t>
  </si>
  <si>
    <t>欣厚-KY</t>
  </si>
  <si>
    <t>璟德電子</t>
  </si>
  <si>
    <t>同協電子</t>
  </si>
  <si>
    <t>大田精密</t>
  </si>
  <si>
    <t>奈米醫材</t>
  </si>
  <si>
    <t>威潤</t>
  </si>
  <si>
    <t>精華光學</t>
  </si>
  <si>
    <t>元創精密</t>
  </si>
  <si>
    <t>衛司特</t>
  </si>
  <si>
    <t>新晶投控</t>
  </si>
  <si>
    <t>海灣</t>
  </si>
  <si>
    <t>立衛科技</t>
  </si>
  <si>
    <t>霖宏科技</t>
  </si>
  <si>
    <t>天品</t>
  </si>
  <si>
    <t>銘旺實</t>
  </si>
  <si>
    <t>宸曜</t>
  </si>
  <si>
    <t>大略-KY</t>
  </si>
  <si>
    <t>大詠城</t>
  </si>
  <si>
    <t>廣閎科</t>
  </si>
  <si>
    <t>寶島科</t>
  </si>
  <si>
    <t>晶達</t>
  </si>
  <si>
    <t>捷迅</t>
  </si>
  <si>
    <t>華宏新技</t>
  </si>
  <si>
    <t>醫影</t>
  </si>
  <si>
    <t>台聯電訊</t>
  </si>
  <si>
    <t>達爾膚</t>
  </si>
  <si>
    <t>世豐</t>
  </si>
  <si>
    <t>安碁資訊</t>
  </si>
  <si>
    <t>三豐建設</t>
  </si>
  <si>
    <t>太平洋醫</t>
  </si>
  <si>
    <t>易通展</t>
  </si>
  <si>
    <t>佑華微電</t>
  </si>
  <si>
    <t>臺龍電子</t>
  </si>
  <si>
    <t>通泰</t>
  </si>
  <si>
    <t>美而快</t>
  </si>
  <si>
    <t>雙美</t>
  </si>
  <si>
    <t>皇田工業</t>
  </si>
  <si>
    <t>捷流閥業</t>
  </si>
  <si>
    <t>智基科技</t>
  </si>
  <si>
    <t>禾瑞亞</t>
  </si>
  <si>
    <t>藥華藥</t>
  </si>
  <si>
    <t>西柏科技</t>
  </si>
  <si>
    <t>大地-KY</t>
  </si>
  <si>
    <t>雙喜</t>
  </si>
  <si>
    <t>中美實</t>
  </si>
  <si>
    <t>環宇-KY</t>
  </si>
  <si>
    <t>康聯訊</t>
  </si>
  <si>
    <t>威健生技</t>
  </si>
  <si>
    <t>印鉐</t>
  </si>
  <si>
    <t>霹靂</t>
  </si>
  <si>
    <t>保綠-KY</t>
  </si>
  <si>
    <t>聚積</t>
  </si>
  <si>
    <t>及成</t>
  </si>
  <si>
    <t>東碩</t>
  </si>
  <si>
    <t>松崗</t>
  </si>
  <si>
    <t>漢來美食</t>
  </si>
  <si>
    <t>泰金-KY</t>
  </si>
  <si>
    <t>博大科技</t>
  </si>
  <si>
    <t>瓦城</t>
  </si>
  <si>
    <t>益安</t>
  </si>
  <si>
    <t>新麥</t>
  </si>
  <si>
    <t>家碩</t>
  </si>
  <si>
    <t>亞洲藏壽司</t>
  </si>
  <si>
    <t>上奇科技</t>
  </si>
  <si>
    <t>明基醫</t>
  </si>
  <si>
    <t>中連</t>
  </si>
  <si>
    <t>台蠟</t>
  </si>
  <si>
    <t>鼎翰科技</t>
  </si>
  <si>
    <t>國碳科技</t>
  </si>
  <si>
    <t>上亞科技</t>
  </si>
  <si>
    <t>飛寶企業</t>
  </si>
  <si>
    <t>東友</t>
  </si>
  <si>
    <t>琉園</t>
  </si>
  <si>
    <t>上揚科技</t>
  </si>
  <si>
    <t>富堡工業</t>
  </si>
  <si>
    <t>裕國</t>
  </si>
  <si>
    <t>宏觀</t>
  </si>
  <si>
    <t>巨漢</t>
  </si>
  <si>
    <t>鉅明</t>
  </si>
  <si>
    <t>進階</t>
  </si>
  <si>
    <t>新鼎系統</t>
  </si>
  <si>
    <t>瑞穎</t>
  </si>
  <si>
    <t>沛亨半導</t>
  </si>
  <si>
    <t>豪展</t>
  </si>
  <si>
    <t>東典光電</t>
  </si>
  <si>
    <t>方土霖</t>
  </si>
  <si>
    <t>福永生技</t>
  </si>
  <si>
    <t>大塚資訊</t>
  </si>
  <si>
    <t>昱泉國際</t>
  </si>
  <si>
    <t>叡揚</t>
  </si>
  <si>
    <t>艾恩特</t>
  </si>
  <si>
    <t>勝品</t>
  </si>
  <si>
    <t>生泰合成</t>
  </si>
  <si>
    <t>力士</t>
  </si>
  <si>
    <t>鉅邁</t>
  </si>
  <si>
    <t>燦星旅</t>
  </si>
  <si>
    <t>邑昇</t>
  </si>
  <si>
    <t>晶悅</t>
  </si>
  <si>
    <t>惠光</t>
  </si>
  <si>
    <t>弘煜科</t>
  </si>
  <si>
    <t>崇越電通</t>
  </si>
  <si>
    <t>至興精機</t>
  </si>
  <si>
    <t>芮特-KY</t>
  </si>
  <si>
    <t>點晶科技</t>
  </si>
  <si>
    <t>金洲製網</t>
  </si>
  <si>
    <t>劍湖山</t>
  </si>
  <si>
    <t>大恭化學</t>
  </si>
  <si>
    <t>大車隊</t>
  </si>
  <si>
    <t>橙的</t>
  </si>
  <si>
    <t>富致</t>
  </si>
  <si>
    <t>雙邦實業</t>
  </si>
  <si>
    <t>寶緯</t>
  </si>
  <si>
    <t>金穎生技</t>
  </si>
  <si>
    <t>商之器</t>
  </si>
  <si>
    <t>明係</t>
  </si>
  <si>
    <t>騰雲</t>
  </si>
  <si>
    <t>科懋</t>
  </si>
  <si>
    <t>寶得利</t>
  </si>
  <si>
    <t>博士旺</t>
  </si>
  <si>
    <t>全家</t>
  </si>
  <si>
    <t>勝昱科技</t>
  </si>
  <si>
    <t>數字</t>
  </si>
  <si>
    <t>東捷資訊</t>
  </si>
  <si>
    <t>泓格科技</t>
  </si>
  <si>
    <t>倍力</t>
  </si>
  <si>
    <t>鑫創科技</t>
  </si>
  <si>
    <t>安碁科技</t>
  </si>
  <si>
    <t>百徽</t>
  </si>
  <si>
    <t>新昕纖維</t>
  </si>
  <si>
    <t>華祺工業</t>
  </si>
  <si>
    <t>世鎧精密</t>
  </si>
  <si>
    <t>川寶</t>
  </si>
  <si>
    <t>湯石照明</t>
  </si>
  <si>
    <t>老爺知</t>
  </si>
  <si>
    <t>鐿鈦</t>
  </si>
  <si>
    <t>啟發電</t>
  </si>
  <si>
    <t>安倉</t>
  </si>
  <si>
    <t>彩富電子</t>
  </si>
  <si>
    <t>欣大健康</t>
  </si>
  <si>
    <t>泓瀚</t>
  </si>
  <si>
    <t>崑鼎</t>
  </si>
  <si>
    <t>聯寶</t>
  </si>
  <si>
    <t>智晶</t>
  </si>
  <si>
    <t>亞都麗緻</t>
  </si>
  <si>
    <t>迎輝科技</t>
  </si>
  <si>
    <t>宏佳騰</t>
  </si>
  <si>
    <t>聯發國際</t>
  </si>
  <si>
    <t>達輝-KY</t>
  </si>
  <si>
    <t>寶德</t>
  </si>
  <si>
    <t>寶利徠</t>
  </si>
  <si>
    <t>明揚</t>
  </si>
  <si>
    <t>綠界科技</t>
  </si>
  <si>
    <t>欣雄</t>
  </si>
  <si>
    <t>桓鼎-KY</t>
  </si>
  <si>
    <t>達航科技</t>
  </si>
  <si>
    <t>興采</t>
  </si>
  <si>
    <t>浩泰</t>
  </si>
  <si>
    <t>普鴻</t>
  </si>
  <si>
    <t>萬達光電</t>
  </si>
  <si>
    <t>江興鍛壓</t>
  </si>
  <si>
    <t>大拓-KY</t>
  </si>
  <si>
    <t>藝舍-KY</t>
  </si>
  <si>
    <t>杏一</t>
  </si>
  <si>
    <t>創為精密</t>
  </si>
  <si>
    <t>慶生電子</t>
  </si>
  <si>
    <t>順發電腦</t>
  </si>
  <si>
    <t>鈺鎧</t>
  </si>
  <si>
    <t>雲嘉南</t>
  </si>
  <si>
    <t>詩肯</t>
  </si>
  <si>
    <t>強新工業</t>
  </si>
  <si>
    <t>樂威科-KY</t>
  </si>
  <si>
    <t>正能量智能</t>
  </si>
  <si>
    <t>理銘科技</t>
  </si>
  <si>
    <t>德記洋行</t>
  </si>
  <si>
    <t>凌網科技</t>
  </si>
  <si>
    <t>合富-KY</t>
  </si>
  <si>
    <t>綠河-KY</t>
  </si>
  <si>
    <t>健信科技</t>
  </si>
  <si>
    <t>明達醫</t>
  </si>
  <si>
    <t>君帆</t>
  </si>
  <si>
    <t>尚茂</t>
  </si>
  <si>
    <t>誠泰科技</t>
  </si>
  <si>
    <t>桂田文創</t>
  </si>
  <si>
    <t>邁達康</t>
  </si>
  <si>
    <t>金山電子</t>
  </si>
  <si>
    <t>嘉鋼</t>
  </si>
  <si>
    <t>台生材</t>
  </si>
  <si>
    <t>誠品生活</t>
  </si>
  <si>
    <t>來思達</t>
  </si>
  <si>
    <t>台微醫</t>
  </si>
  <si>
    <t>雅茗-KY</t>
  </si>
  <si>
    <t>先益電子</t>
  </si>
  <si>
    <t>勤崴國際</t>
  </si>
  <si>
    <t>得利影視</t>
  </si>
  <si>
    <t>數泓科</t>
  </si>
  <si>
    <t>佳穎精密</t>
  </si>
  <si>
    <t>濾能</t>
  </si>
  <si>
    <t>三竹</t>
  </si>
  <si>
    <t>德英</t>
  </si>
  <si>
    <t>晉泰科技</t>
  </si>
  <si>
    <t>東研信超</t>
  </si>
  <si>
    <t>馬光-KY</t>
  </si>
  <si>
    <t>晉椿</t>
  </si>
  <si>
    <t>伯特光</t>
  </si>
  <si>
    <t>皇家美食</t>
  </si>
  <si>
    <t>諾貝兒</t>
  </si>
  <si>
    <t>茂生農經</t>
  </si>
  <si>
    <t>實威</t>
  </si>
  <si>
    <t>志旭國際</t>
  </si>
  <si>
    <t>佑全</t>
  </si>
  <si>
    <t>科誠</t>
  </si>
  <si>
    <t>大甲</t>
  </si>
  <si>
    <t>中華食品</t>
  </si>
  <si>
    <t>竣邦-KY</t>
  </si>
  <si>
    <t>杏昌生技</t>
  </si>
  <si>
    <t>祺驊</t>
  </si>
  <si>
    <t>唐鋒實業</t>
  </si>
  <si>
    <t>研勤科技</t>
  </si>
  <si>
    <t>偉康科技</t>
  </si>
  <si>
    <t>南璋</t>
  </si>
  <si>
    <t>關中</t>
  </si>
  <si>
    <t>上洋</t>
  </si>
  <si>
    <t>樂斯科</t>
  </si>
  <si>
    <t>虎門科技</t>
  </si>
  <si>
    <t>杏國</t>
  </si>
  <si>
    <t>宏易</t>
  </si>
  <si>
    <t>意德士</t>
  </si>
  <si>
    <t>隆中</t>
  </si>
  <si>
    <t>昇益</t>
  </si>
  <si>
    <t>世坤塑膠</t>
  </si>
  <si>
    <t>天擎</t>
  </si>
  <si>
    <t>天揚</t>
  </si>
  <si>
    <t>立康</t>
  </si>
  <si>
    <t>欣泰</t>
  </si>
  <si>
    <t>欣新網</t>
  </si>
  <si>
    <t>天正國際</t>
  </si>
  <si>
    <t>樂意</t>
  </si>
  <si>
    <t>揚秦</t>
  </si>
  <si>
    <t>謚源</t>
  </si>
  <si>
    <t>至寶光電</t>
  </si>
  <si>
    <t>大展證券</t>
  </si>
  <si>
    <t>時報出版</t>
  </si>
  <si>
    <t>光菱電子</t>
  </si>
  <si>
    <t>雄順</t>
  </si>
  <si>
    <t>耀億</t>
  </si>
  <si>
    <t>萬年清</t>
  </si>
  <si>
    <t>紅心辣椒</t>
  </si>
  <si>
    <t>三圓建設</t>
  </si>
  <si>
    <t>科際精密</t>
  </si>
  <si>
    <t>進泰電子</t>
  </si>
  <si>
    <t>亨泰光</t>
  </si>
  <si>
    <t>綠茵</t>
  </si>
  <si>
    <t>智聯服務</t>
  </si>
  <si>
    <t>泰偉電子</t>
  </si>
  <si>
    <t>萬達寵物</t>
  </si>
  <si>
    <t>霈方</t>
  </si>
  <si>
    <t>榮昌</t>
  </si>
  <si>
    <t>伯鑫</t>
  </si>
  <si>
    <t>惠普</t>
  </si>
  <si>
    <t>益張</t>
  </si>
  <si>
    <t>尚凡</t>
  </si>
  <si>
    <t>夠麻吉</t>
  </si>
  <si>
    <t>台興</t>
  </si>
  <si>
    <t>富榮綱</t>
  </si>
  <si>
    <t>唐榮公司</t>
  </si>
  <si>
    <t>地心引力</t>
  </si>
  <si>
    <t>中茂</t>
  </si>
  <si>
    <t>鑫傳</t>
  </si>
  <si>
    <t>信實</t>
  </si>
  <si>
    <t>集雅社</t>
  </si>
  <si>
    <t>洛碁實業</t>
  </si>
  <si>
    <t>寶陞</t>
  </si>
  <si>
    <t>幸康電子</t>
  </si>
  <si>
    <t>進典</t>
  </si>
  <si>
    <t>力泰建設</t>
  </si>
  <si>
    <t>沈氏印刷</t>
  </si>
  <si>
    <t>安心</t>
  </si>
  <si>
    <t>新零售</t>
  </si>
  <si>
    <t>米斯特</t>
  </si>
  <si>
    <t>振宇五金</t>
  </si>
  <si>
    <t>松和工業</t>
  </si>
  <si>
    <t>德麥</t>
  </si>
  <si>
    <t>全域</t>
  </si>
  <si>
    <t>台名</t>
  </si>
  <si>
    <t>竹陞科技</t>
  </si>
  <si>
    <t>生展</t>
  </si>
  <si>
    <t>潤德</t>
  </si>
  <si>
    <t>宏太-KY</t>
  </si>
  <si>
    <t>鑫創電子</t>
  </si>
  <si>
    <t>豆府</t>
  </si>
  <si>
    <t>8349A</t>
  </si>
  <si>
    <t>恒耀甲特</t>
  </si>
  <si>
    <t>元隆電子</t>
  </si>
  <si>
    <t>達亞</t>
  </si>
  <si>
    <t>台聯貨櫃</t>
  </si>
  <si>
    <t>捷必勝-KY</t>
  </si>
  <si>
    <t>中湛</t>
  </si>
  <si>
    <t>天蔥</t>
  </si>
  <si>
    <t>合邦電子</t>
  </si>
  <si>
    <t>不含使用綜合帳戶之投信買賣量</t>
  </si>
  <si>
    <t>股票代號</t>
    <phoneticPr fontId="18" type="noConversion"/>
  </si>
  <si>
    <t>股票名稱</t>
    <phoneticPr fontId="18" type="noConversion"/>
  </si>
  <si>
    <t>新光金</t>
  </si>
  <si>
    <t>群創</t>
  </si>
  <si>
    <t>鴻海</t>
  </si>
  <si>
    <t>長榮航</t>
  </si>
  <si>
    <t>聯電</t>
  </si>
  <si>
    <t>陽明</t>
  </si>
  <si>
    <t>中信金</t>
  </si>
  <si>
    <t>緯創</t>
  </si>
  <si>
    <t>開發金</t>
  </si>
  <si>
    <t>友達</t>
  </si>
  <si>
    <t>大同</t>
  </si>
  <si>
    <t>台積電</t>
  </si>
  <si>
    <t>英業達</t>
  </si>
  <si>
    <t>宏碁</t>
  </si>
  <si>
    <t>華航</t>
  </si>
  <si>
    <t>燿華</t>
  </si>
  <si>
    <t>長榮</t>
  </si>
  <si>
    <t>大亞</t>
  </si>
  <si>
    <t>中工</t>
  </si>
  <si>
    <t>廣達</t>
  </si>
  <si>
    <t>中興電</t>
  </si>
  <si>
    <t>國泰金</t>
  </si>
  <si>
    <t>仁寶</t>
  </si>
  <si>
    <t>華邦電</t>
  </si>
  <si>
    <t>萬海</t>
  </si>
  <si>
    <t>昆盈</t>
  </si>
  <si>
    <t>泰金寶-DR</t>
  </si>
  <si>
    <t>玉山金</t>
  </si>
  <si>
    <t>一詮</t>
  </si>
  <si>
    <t>華通</t>
  </si>
  <si>
    <t>中石化</t>
  </si>
  <si>
    <t>臺企銀</t>
  </si>
  <si>
    <t>訊舟</t>
  </si>
  <si>
    <t>三商壽</t>
  </si>
  <si>
    <t>中鋼</t>
  </si>
  <si>
    <t>台新金</t>
  </si>
  <si>
    <t>力積電</t>
  </si>
  <si>
    <t>京元電子</t>
  </si>
  <si>
    <t>晟銘電</t>
  </si>
  <si>
    <t>金寶</t>
  </si>
  <si>
    <t>亞力</t>
  </si>
  <si>
    <t>元大金</t>
  </si>
  <si>
    <t>光寶科</t>
  </si>
  <si>
    <t>永豐金</t>
  </si>
  <si>
    <t>兆豐金</t>
  </si>
  <si>
    <t>均豪</t>
  </si>
  <si>
    <t>富邦金</t>
  </si>
  <si>
    <t>瑞軒</t>
  </si>
  <si>
    <t>神達</t>
  </si>
  <si>
    <t>欣興</t>
  </si>
  <si>
    <t>光洋科</t>
  </si>
  <si>
    <t>華南金</t>
  </si>
  <si>
    <t>台泥</t>
  </si>
  <si>
    <t>南亞科</t>
  </si>
  <si>
    <t>第一金</t>
  </si>
  <si>
    <t>盟立</t>
  </si>
  <si>
    <t>華新</t>
  </si>
  <si>
    <t>彰銀</t>
  </si>
  <si>
    <t>日月光投控</t>
  </si>
  <si>
    <t>東捷</t>
  </si>
  <si>
    <t>潤泰新</t>
  </si>
  <si>
    <t>世界</t>
  </si>
  <si>
    <t>錸德</t>
  </si>
  <si>
    <t>中環</t>
  </si>
  <si>
    <t>奇鋐</t>
  </si>
  <si>
    <t>士電</t>
  </si>
  <si>
    <t>東元</t>
  </si>
  <si>
    <t>佳能</t>
  </si>
  <si>
    <t>建漢</t>
  </si>
  <si>
    <t>昇陽半導體</t>
  </si>
  <si>
    <t>旺宏</t>
  </si>
  <si>
    <t>寶成</t>
  </si>
  <si>
    <t>台燿</t>
  </si>
  <si>
    <t>台達電</t>
  </si>
  <si>
    <t>南亞</t>
  </si>
  <si>
    <t>合庫金</t>
  </si>
  <si>
    <t>群益證</t>
  </si>
  <si>
    <t>和碩</t>
  </si>
  <si>
    <t>台塑</t>
  </si>
  <si>
    <t>國票金</t>
  </si>
  <si>
    <t>智原</t>
  </si>
  <si>
    <t>中華電</t>
  </si>
  <si>
    <t>興富發</t>
  </si>
  <si>
    <t>聯合再生</t>
  </si>
  <si>
    <t>正文</t>
  </si>
  <si>
    <t>彩晶</t>
  </si>
  <si>
    <t>臻鼎-KY</t>
  </si>
  <si>
    <t>至上</t>
  </si>
  <si>
    <t>定穎投控</t>
  </si>
  <si>
    <t>皇昌</t>
  </si>
  <si>
    <t>統一</t>
  </si>
  <si>
    <t>新日興</t>
  </si>
  <si>
    <t>國產</t>
  </si>
  <si>
    <t>威盛</t>
  </si>
  <si>
    <t>遠東新</t>
  </si>
  <si>
    <t>遠東銀</t>
  </si>
  <si>
    <t>元晶</t>
  </si>
  <si>
    <t>華城</t>
  </si>
  <si>
    <t>威剛</t>
  </si>
  <si>
    <t>喬福</t>
  </si>
  <si>
    <t>世紀鋼</t>
  </si>
  <si>
    <t>毅嘉</t>
  </si>
  <si>
    <t>景碩</t>
  </si>
  <si>
    <t>大聯大</t>
  </si>
  <si>
    <t>正新</t>
  </si>
  <si>
    <t>聯發科</t>
  </si>
  <si>
    <t>和椿</t>
  </si>
  <si>
    <t>遠傳</t>
  </si>
  <si>
    <t>亞泥</t>
  </si>
  <si>
    <t>台灣大</t>
  </si>
  <si>
    <t>永光</t>
  </si>
  <si>
    <t>中租-KY</t>
  </si>
  <si>
    <t>上海商銀</t>
  </si>
  <si>
    <t>力成</t>
  </si>
  <si>
    <t>威健</t>
  </si>
  <si>
    <t>亞光</t>
  </si>
  <si>
    <t>華東</t>
  </si>
  <si>
    <t>高鋒</t>
  </si>
  <si>
    <t>台化</t>
  </si>
  <si>
    <t>聯強</t>
  </si>
  <si>
    <t>光鋐</t>
  </si>
  <si>
    <t>辛耘</t>
  </si>
  <si>
    <t>宏達電</t>
  </si>
  <si>
    <t>志聖</t>
  </si>
  <si>
    <t>欣銓</t>
  </si>
  <si>
    <t>台塑化</t>
  </si>
  <si>
    <t>TPK-KY</t>
  </si>
  <si>
    <t>長華*</t>
  </si>
  <si>
    <t>群光</t>
  </si>
  <si>
    <t>聯詠</t>
  </si>
  <si>
    <t>羅昇</t>
  </si>
  <si>
    <t>前鼎</t>
  </si>
  <si>
    <t>潤泰全</t>
  </si>
  <si>
    <t>裕隆</t>
  </si>
  <si>
    <t>映泰</t>
  </si>
  <si>
    <t>福裕</t>
  </si>
  <si>
    <t>光聖</t>
  </si>
  <si>
    <t>中纖</t>
  </si>
  <si>
    <t>信錦</t>
  </si>
  <si>
    <t>瑞昱</t>
  </si>
  <si>
    <t>華電網</t>
  </si>
  <si>
    <t>台虹</t>
  </si>
  <si>
    <t>精剛</t>
  </si>
  <si>
    <t>宜特</t>
  </si>
  <si>
    <t>億光</t>
  </si>
  <si>
    <t>原相</t>
  </si>
  <si>
    <t>惠特</t>
  </si>
  <si>
    <t>榮創</t>
  </si>
  <si>
    <t>三晃</t>
  </si>
  <si>
    <t>振曜</t>
  </si>
  <si>
    <t>聯嘉</t>
  </si>
  <si>
    <t>雲豹能源</t>
  </si>
  <si>
    <t>友訊</t>
  </si>
  <si>
    <t>長興</t>
  </si>
  <si>
    <t>精金</t>
  </si>
  <si>
    <t>正達</t>
  </si>
  <si>
    <t>致茂</t>
  </si>
  <si>
    <t>橋椿</t>
  </si>
  <si>
    <t>美律</t>
  </si>
  <si>
    <t>大量</t>
  </si>
  <si>
    <t>順德</t>
  </si>
  <si>
    <t>達興材料</t>
  </si>
  <si>
    <t>百一</t>
  </si>
  <si>
    <t>宏致</t>
  </si>
  <si>
    <t>台聚</t>
  </si>
  <si>
    <t>東鹼</t>
  </si>
  <si>
    <t>怡利電</t>
  </si>
  <si>
    <t>中華化</t>
  </si>
  <si>
    <t>創惟</t>
  </si>
  <si>
    <t>名軒</t>
  </si>
  <si>
    <t>立碁</t>
  </si>
  <si>
    <t>谷崧</t>
  </si>
  <si>
    <t>承啟</t>
  </si>
  <si>
    <t>宏旭-KY</t>
  </si>
  <si>
    <t>眾達-KY</t>
  </si>
  <si>
    <t>台達化</t>
  </si>
  <si>
    <t>旭暉應材</t>
  </si>
  <si>
    <t>金橋</t>
  </si>
  <si>
    <t>菱光</t>
  </si>
  <si>
    <t>迅得</t>
  </si>
  <si>
    <t>鼎元</t>
  </si>
  <si>
    <t>瀧澤科</t>
  </si>
  <si>
    <t>東聯</t>
  </si>
  <si>
    <t>聯光通</t>
  </si>
  <si>
    <t>錦明</t>
  </si>
  <si>
    <t>聯穎</t>
  </si>
  <si>
    <t>大銀微系統</t>
  </si>
  <si>
    <t>悅城</t>
  </si>
  <si>
    <t>晉倫</t>
  </si>
  <si>
    <t>慶豐富</t>
  </si>
  <si>
    <t>同協</t>
  </si>
  <si>
    <t>美隆電</t>
  </si>
  <si>
    <t>宇隆</t>
  </si>
  <si>
    <t>汎銓</t>
  </si>
  <si>
    <t>IKKA-KY</t>
  </si>
  <si>
    <t>佳大</t>
  </si>
  <si>
    <t>光菱</t>
  </si>
  <si>
    <t>日均成交張數</t>
  </si>
  <si>
    <t>市場</t>
  </si>
  <si>
    <t>市</t>
  </si>
  <si>
    <t>櫃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</si>
</sst>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9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b/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65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7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7" fillId="32" borderId="0" applyNumberFormat="0" applyBorder="0" applyAlignment="0" applyProtection="0">
      <alignment vertical="center"/>
    </xf>
  </cellStyleXfs>
  <cellXfs count="2">
    <xf numFmtId="0" fontId="0" fillId="0" borderId="0" xfId="0">
      <alignment vertical="center"/>
    </xf>
    <xf numFmtId="3" fontId="0" fillId="0" borderId="0" xfId="0" applyNumberFormat="1">
      <alignment vertical="center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832"/>
  <sheetViews>
    <sheetView tabSelected="1" workbookViewId="0">
      <selection activeCell="H7" sqref="H7"/>
    </sheetView>
  </sheetViews>
  <sheetFormatPr defaultRowHeight="16.5" x14ac:dyDescent="0.25"/>
  <cols>
    <col min="4" max="4" width="13.875" bestFit="1" customWidth="1"/>
  </cols>
  <sheetData>
    <row r="1" spans="1:5" x14ac:dyDescent="0.25">
      <c r="A1" t="s">
        <v>0</v>
      </c>
      <c r="B1" t="s">
        <v>627</v>
      </c>
      <c r="C1" t="s">
        <v>628</v>
      </c>
      <c r="D1" t="s">
        <v>826</v>
      </c>
      <c r="E1" t="s">
        <v>827</v>
      </c>
    </row>
    <row r="2" spans="1:5" x14ac:dyDescent="0.25">
      <c r="A2">
        <v>1</v>
      </c>
      <c r="B2" t="str">
        <f>"2888"</f>
        <v>2888</v>
      </c>
      <c r="C2" t="s">
        <v>629</v>
      </c>
      <c r="D2" s="1">
        <v>132693</v>
      </c>
      <c r="E2" t="s">
        <v>828</v>
      </c>
    </row>
    <row r="3" spans="1:5" x14ac:dyDescent="0.25">
      <c r="A3">
        <v>10</v>
      </c>
      <c r="B3" t="str">
        <f>"3481"</f>
        <v>3481</v>
      </c>
      <c r="C3" t="s">
        <v>630</v>
      </c>
      <c r="D3" s="1">
        <v>113372</v>
      </c>
      <c r="E3" t="s">
        <v>828</v>
      </c>
    </row>
    <row r="4" spans="1:5" x14ac:dyDescent="0.25">
      <c r="A4">
        <v>12</v>
      </c>
      <c r="B4" t="str">
        <f>"2317"</f>
        <v>2317</v>
      </c>
      <c r="C4" t="s">
        <v>631</v>
      </c>
      <c r="D4" s="1">
        <v>94825</v>
      </c>
      <c r="E4" t="s">
        <v>828</v>
      </c>
    </row>
    <row r="5" spans="1:5" x14ac:dyDescent="0.25">
      <c r="A5">
        <v>17</v>
      </c>
      <c r="B5" t="str">
        <f>"2618"</f>
        <v>2618</v>
      </c>
      <c r="C5" t="s">
        <v>632</v>
      </c>
      <c r="D5" s="1">
        <v>78262</v>
      </c>
      <c r="E5" t="s">
        <v>828</v>
      </c>
    </row>
    <row r="6" spans="1:5" x14ac:dyDescent="0.25">
      <c r="A6">
        <v>20</v>
      </c>
      <c r="B6" t="str">
        <f>"2303"</f>
        <v>2303</v>
      </c>
      <c r="C6" t="s">
        <v>633</v>
      </c>
      <c r="D6" s="1">
        <v>68601</v>
      </c>
      <c r="E6" t="s">
        <v>828</v>
      </c>
    </row>
    <row r="7" spans="1:5" x14ac:dyDescent="0.25">
      <c r="A7">
        <v>45</v>
      </c>
      <c r="B7" t="str">
        <f>"2609"</f>
        <v>2609</v>
      </c>
      <c r="C7" t="s">
        <v>634</v>
      </c>
      <c r="D7" s="1">
        <v>68132</v>
      </c>
      <c r="E7" t="s">
        <v>828</v>
      </c>
    </row>
    <row r="8" spans="1:5" x14ac:dyDescent="0.25">
      <c r="A8">
        <v>2</v>
      </c>
      <c r="B8" t="str">
        <f>"2891"</f>
        <v>2891</v>
      </c>
      <c r="C8" t="s">
        <v>635</v>
      </c>
      <c r="D8" s="1">
        <v>66327</v>
      </c>
      <c r="E8" t="s">
        <v>828</v>
      </c>
    </row>
    <row r="9" spans="1:5" x14ac:dyDescent="0.25">
      <c r="A9">
        <v>69</v>
      </c>
      <c r="B9" t="str">
        <f>"3231"</f>
        <v>3231</v>
      </c>
      <c r="C9" t="s">
        <v>636</v>
      </c>
      <c r="D9" s="1">
        <v>62097</v>
      </c>
      <c r="E9" t="s">
        <v>828</v>
      </c>
    </row>
    <row r="10" spans="1:5" x14ac:dyDescent="0.25">
      <c r="A10">
        <v>24</v>
      </c>
      <c r="B10" t="str">
        <f>"2883"</f>
        <v>2883</v>
      </c>
      <c r="C10" t="s">
        <v>637</v>
      </c>
      <c r="D10" s="1">
        <v>54534</v>
      </c>
      <c r="E10" t="s">
        <v>828</v>
      </c>
    </row>
    <row r="11" spans="1:5" x14ac:dyDescent="0.25">
      <c r="A11">
        <v>35</v>
      </c>
      <c r="B11" t="str">
        <f>"2409"</f>
        <v>2409</v>
      </c>
      <c r="C11" t="s">
        <v>638</v>
      </c>
      <c r="D11" s="1">
        <v>48963</v>
      </c>
      <c r="E11" t="s">
        <v>828</v>
      </c>
    </row>
    <row r="12" spans="1:5" x14ac:dyDescent="0.25">
      <c r="A12">
        <v>98</v>
      </c>
      <c r="B12" t="str">
        <f>"2371"</f>
        <v>2371</v>
      </c>
      <c r="C12" t="s">
        <v>639</v>
      </c>
      <c r="D12" s="1">
        <v>47116</v>
      </c>
      <c r="E12" t="s">
        <v>828</v>
      </c>
    </row>
    <row r="13" spans="1:5" x14ac:dyDescent="0.25">
      <c r="A13">
        <v>40</v>
      </c>
      <c r="B13" t="str">
        <f>"2330"</f>
        <v>2330</v>
      </c>
      <c r="C13" t="s">
        <v>640</v>
      </c>
      <c r="D13" s="1">
        <v>45952</v>
      </c>
      <c r="E13" t="s">
        <v>828</v>
      </c>
    </row>
    <row r="14" spans="1:5" x14ac:dyDescent="0.25">
      <c r="A14">
        <v>107</v>
      </c>
      <c r="B14" t="str">
        <f>"2356"</f>
        <v>2356</v>
      </c>
      <c r="C14" t="s">
        <v>641</v>
      </c>
      <c r="D14" s="1">
        <v>43717</v>
      </c>
      <c r="E14" t="s">
        <v>828</v>
      </c>
    </row>
    <row r="15" spans="1:5" x14ac:dyDescent="0.25">
      <c r="A15">
        <v>133</v>
      </c>
      <c r="B15" t="str">
        <f>"2353"</f>
        <v>2353</v>
      </c>
      <c r="C15" t="s">
        <v>642</v>
      </c>
      <c r="D15" s="1">
        <v>42802</v>
      </c>
      <c r="E15" t="s">
        <v>828</v>
      </c>
    </row>
    <row r="16" spans="1:5" x14ac:dyDescent="0.25">
      <c r="A16">
        <v>22</v>
      </c>
      <c r="B16" t="str">
        <f>"2610"</f>
        <v>2610</v>
      </c>
      <c r="C16" t="s">
        <v>643</v>
      </c>
      <c r="D16" s="1">
        <v>41972</v>
      </c>
      <c r="E16" t="s">
        <v>828</v>
      </c>
    </row>
    <row r="17" spans="1:5" x14ac:dyDescent="0.25">
      <c r="A17">
        <v>191</v>
      </c>
      <c r="B17" t="str">
        <f>"2367"</f>
        <v>2367</v>
      </c>
      <c r="C17" t="s">
        <v>644</v>
      </c>
      <c r="D17" s="1">
        <v>41628</v>
      </c>
      <c r="E17" t="s">
        <v>828</v>
      </c>
    </row>
    <row r="18" spans="1:5" x14ac:dyDescent="0.25">
      <c r="A18">
        <v>64</v>
      </c>
      <c r="B18" t="str">
        <f>"2603"</f>
        <v>2603</v>
      </c>
      <c r="C18" t="s">
        <v>645</v>
      </c>
      <c r="D18" s="1">
        <v>37236</v>
      </c>
      <c r="E18" t="s">
        <v>828</v>
      </c>
    </row>
    <row r="19" spans="1:5" x14ac:dyDescent="0.25">
      <c r="A19">
        <v>134</v>
      </c>
      <c r="B19" t="str">
        <f>"1609"</f>
        <v>1609</v>
      </c>
      <c r="C19" t="s">
        <v>646</v>
      </c>
      <c r="D19" s="1">
        <v>36327</v>
      </c>
      <c r="E19" t="s">
        <v>828</v>
      </c>
    </row>
    <row r="20" spans="1:5" x14ac:dyDescent="0.25">
      <c r="A20">
        <v>126</v>
      </c>
      <c r="B20" t="str">
        <f>"2515"</f>
        <v>2515</v>
      </c>
      <c r="C20" t="s">
        <v>647</v>
      </c>
      <c r="D20" s="1">
        <v>35603</v>
      </c>
      <c r="E20" t="s">
        <v>828</v>
      </c>
    </row>
    <row r="21" spans="1:5" x14ac:dyDescent="0.25">
      <c r="A21">
        <v>96</v>
      </c>
      <c r="B21" t="str">
        <f>"2382"</f>
        <v>2382</v>
      </c>
      <c r="C21" t="s">
        <v>648</v>
      </c>
      <c r="D21" s="1">
        <v>35196</v>
      </c>
      <c r="E21" t="s">
        <v>828</v>
      </c>
    </row>
    <row r="22" spans="1:5" x14ac:dyDescent="0.25">
      <c r="A22">
        <v>95</v>
      </c>
      <c r="B22" t="str">
        <f>"1513"</f>
        <v>1513</v>
      </c>
      <c r="C22" t="s">
        <v>649</v>
      </c>
      <c r="D22" s="1">
        <v>29947</v>
      </c>
      <c r="E22" t="s">
        <v>828</v>
      </c>
    </row>
    <row r="23" spans="1:5" x14ac:dyDescent="0.25">
      <c r="A23">
        <v>298</v>
      </c>
      <c r="B23" t="str">
        <f>"1815"</f>
        <v>1815</v>
      </c>
      <c r="C23" t="s">
        <v>1</v>
      </c>
      <c r="D23" s="1">
        <v>29929</v>
      </c>
      <c r="E23" t="s">
        <v>829</v>
      </c>
    </row>
    <row r="24" spans="1:5" x14ac:dyDescent="0.25">
      <c r="A24">
        <v>106</v>
      </c>
      <c r="B24" t="str">
        <f>"2882"</f>
        <v>2882</v>
      </c>
      <c r="C24" t="s">
        <v>650</v>
      </c>
      <c r="D24" s="1">
        <v>28786</v>
      </c>
      <c r="E24" t="s">
        <v>828</v>
      </c>
    </row>
    <row r="25" spans="1:5" x14ac:dyDescent="0.25">
      <c r="A25">
        <v>89</v>
      </c>
      <c r="B25" t="str">
        <f>"2324"</f>
        <v>2324</v>
      </c>
      <c r="C25" t="s">
        <v>651</v>
      </c>
      <c r="D25" s="1">
        <v>28379</v>
      </c>
      <c r="E25" t="s">
        <v>828</v>
      </c>
    </row>
    <row r="26" spans="1:5" x14ac:dyDescent="0.25">
      <c r="A26">
        <v>48</v>
      </c>
      <c r="B26" t="str">
        <f>"2344"</f>
        <v>2344</v>
      </c>
      <c r="C26" t="s">
        <v>652</v>
      </c>
      <c r="D26" s="1">
        <v>28106</v>
      </c>
      <c r="E26" t="s">
        <v>828</v>
      </c>
    </row>
    <row r="27" spans="1:5" x14ac:dyDescent="0.25">
      <c r="A27">
        <v>74</v>
      </c>
      <c r="B27" t="str">
        <f>"2615"</f>
        <v>2615</v>
      </c>
      <c r="C27" t="s">
        <v>653</v>
      </c>
      <c r="D27" s="1">
        <v>27733</v>
      </c>
      <c r="E27" t="s">
        <v>828</v>
      </c>
    </row>
    <row r="28" spans="1:5" x14ac:dyDescent="0.25">
      <c r="A28">
        <v>187</v>
      </c>
      <c r="B28" t="str">
        <f>"2365"</f>
        <v>2365</v>
      </c>
      <c r="C28" t="s">
        <v>654</v>
      </c>
      <c r="D28" s="1">
        <v>27621</v>
      </c>
      <c r="E28" t="s">
        <v>828</v>
      </c>
    </row>
    <row r="29" spans="1:5" x14ac:dyDescent="0.25">
      <c r="A29">
        <v>78</v>
      </c>
      <c r="B29" t="str">
        <f>"9105"</f>
        <v>9105</v>
      </c>
      <c r="C29" t="s">
        <v>655</v>
      </c>
      <c r="D29" s="1">
        <v>26929</v>
      </c>
      <c r="E29" t="s">
        <v>828</v>
      </c>
    </row>
    <row r="30" spans="1:5" x14ac:dyDescent="0.25">
      <c r="A30">
        <v>128</v>
      </c>
      <c r="B30" t="str">
        <f>"2884"</f>
        <v>2884</v>
      </c>
      <c r="C30" t="s">
        <v>656</v>
      </c>
      <c r="D30" s="1">
        <v>26895</v>
      </c>
      <c r="E30" t="s">
        <v>828</v>
      </c>
    </row>
    <row r="31" spans="1:5" x14ac:dyDescent="0.25">
      <c r="A31">
        <v>60</v>
      </c>
      <c r="B31" t="str">
        <f>"2486"</f>
        <v>2486</v>
      </c>
      <c r="C31" t="s">
        <v>657</v>
      </c>
      <c r="D31" s="1">
        <v>26758</v>
      </c>
      <c r="E31" t="s">
        <v>828</v>
      </c>
    </row>
    <row r="32" spans="1:5" x14ac:dyDescent="0.25">
      <c r="A32">
        <v>38</v>
      </c>
      <c r="B32" t="str">
        <f>"2313"</f>
        <v>2313</v>
      </c>
      <c r="C32" t="s">
        <v>658</v>
      </c>
      <c r="D32" s="1">
        <v>26037</v>
      </c>
      <c r="E32" t="s">
        <v>828</v>
      </c>
    </row>
    <row r="33" spans="1:5" x14ac:dyDescent="0.25">
      <c r="A33">
        <v>127</v>
      </c>
      <c r="B33" t="str">
        <f>"8096"</f>
        <v>8096</v>
      </c>
      <c r="C33" t="s">
        <v>2</v>
      </c>
      <c r="D33" s="1">
        <v>25470</v>
      </c>
      <c r="E33" t="s">
        <v>829</v>
      </c>
    </row>
    <row r="34" spans="1:5" x14ac:dyDescent="0.25">
      <c r="A34">
        <v>67</v>
      </c>
      <c r="B34" t="str">
        <f>"1314"</f>
        <v>1314</v>
      </c>
      <c r="C34" t="s">
        <v>659</v>
      </c>
      <c r="D34" s="1">
        <v>25140</v>
      </c>
      <c r="E34" t="s">
        <v>828</v>
      </c>
    </row>
    <row r="35" spans="1:5" x14ac:dyDescent="0.25">
      <c r="A35">
        <v>73</v>
      </c>
      <c r="B35" t="str">
        <f>"2834"</f>
        <v>2834</v>
      </c>
      <c r="C35" t="s">
        <v>660</v>
      </c>
      <c r="D35" s="1">
        <v>24947</v>
      </c>
      <c r="E35" t="s">
        <v>828</v>
      </c>
    </row>
    <row r="36" spans="1:5" x14ac:dyDescent="0.25">
      <c r="A36">
        <v>177</v>
      </c>
      <c r="B36" t="str">
        <f>"3047"</f>
        <v>3047</v>
      </c>
      <c r="C36" t="s">
        <v>661</v>
      </c>
      <c r="D36" s="1">
        <v>23500</v>
      </c>
      <c r="E36" t="s">
        <v>828</v>
      </c>
    </row>
    <row r="37" spans="1:5" x14ac:dyDescent="0.25">
      <c r="A37">
        <v>41</v>
      </c>
      <c r="B37" t="str">
        <f>"2867"</f>
        <v>2867</v>
      </c>
      <c r="C37" t="s">
        <v>662</v>
      </c>
      <c r="D37" s="1">
        <v>23493</v>
      </c>
      <c r="E37" t="s">
        <v>828</v>
      </c>
    </row>
    <row r="38" spans="1:5" x14ac:dyDescent="0.25">
      <c r="A38">
        <v>61</v>
      </c>
      <c r="B38" t="str">
        <f>"2002"</f>
        <v>2002</v>
      </c>
      <c r="C38" t="s">
        <v>663</v>
      </c>
      <c r="D38" s="1">
        <v>23408</v>
      </c>
      <c r="E38" t="s">
        <v>828</v>
      </c>
    </row>
    <row r="39" spans="1:5" x14ac:dyDescent="0.25">
      <c r="A39">
        <v>15</v>
      </c>
      <c r="B39" t="str">
        <f>"2887"</f>
        <v>2887</v>
      </c>
      <c r="C39" t="s">
        <v>664</v>
      </c>
      <c r="D39" s="1">
        <v>23234</v>
      </c>
      <c r="E39" t="s">
        <v>828</v>
      </c>
    </row>
    <row r="40" spans="1:5" x14ac:dyDescent="0.25">
      <c r="A40">
        <v>170</v>
      </c>
      <c r="B40" t="str">
        <f>"6770"</f>
        <v>6770</v>
      </c>
      <c r="C40" t="s">
        <v>665</v>
      </c>
      <c r="D40" s="1">
        <v>22790</v>
      </c>
      <c r="E40" t="s">
        <v>828</v>
      </c>
    </row>
    <row r="41" spans="1:5" x14ac:dyDescent="0.25">
      <c r="A41">
        <v>102</v>
      </c>
      <c r="B41" t="str">
        <f>"2449"</f>
        <v>2449</v>
      </c>
      <c r="C41" t="s">
        <v>666</v>
      </c>
      <c r="D41" s="1">
        <v>22506</v>
      </c>
      <c r="E41" t="s">
        <v>828</v>
      </c>
    </row>
    <row r="42" spans="1:5" x14ac:dyDescent="0.25">
      <c r="A42">
        <v>198</v>
      </c>
      <c r="B42" t="str">
        <f>"3013"</f>
        <v>3013</v>
      </c>
      <c r="C42" t="s">
        <v>667</v>
      </c>
      <c r="D42" s="1">
        <v>22506</v>
      </c>
      <c r="E42" t="s">
        <v>828</v>
      </c>
    </row>
    <row r="43" spans="1:5" x14ac:dyDescent="0.25">
      <c r="A43">
        <v>138</v>
      </c>
      <c r="B43" t="str">
        <f>"2312"</f>
        <v>2312</v>
      </c>
      <c r="C43" t="s">
        <v>668</v>
      </c>
      <c r="D43" s="1">
        <v>22292</v>
      </c>
      <c r="E43" t="s">
        <v>828</v>
      </c>
    </row>
    <row r="44" spans="1:5" x14ac:dyDescent="0.25">
      <c r="A44">
        <v>114</v>
      </c>
      <c r="B44" t="str">
        <f>"1514"</f>
        <v>1514</v>
      </c>
      <c r="C44" t="s">
        <v>669</v>
      </c>
      <c r="D44" s="1">
        <v>21930</v>
      </c>
      <c r="E44" t="s">
        <v>828</v>
      </c>
    </row>
    <row r="45" spans="1:5" x14ac:dyDescent="0.25">
      <c r="A45">
        <v>101</v>
      </c>
      <c r="B45" t="str">
        <f>"2885"</f>
        <v>2885</v>
      </c>
      <c r="C45" t="s">
        <v>670</v>
      </c>
      <c r="D45" s="1">
        <v>20714</v>
      </c>
      <c r="E45" t="s">
        <v>828</v>
      </c>
    </row>
    <row r="46" spans="1:5" x14ac:dyDescent="0.25">
      <c r="A46">
        <v>172</v>
      </c>
      <c r="B46" t="str">
        <f>"2301"</f>
        <v>2301</v>
      </c>
      <c r="C46" t="s">
        <v>671</v>
      </c>
      <c r="D46" s="1">
        <v>20569</v>
      </c>
      <c r="E46" t="s">
        <v>828</v>
      </c>
    </row>
    <row r="47" spans="1:5" x14ac:dyDescent="0.25">
      <c r="A47">
        <v>149</v>
      </c>
      <c r="B47" t="str">
        <f>"2890"</f>
        <v>2890</v>
      </c>
      <c r="C47" t="s">
        <v>672</v>
      </c>
      <c r="D47" s="1">
        <v>20080</v>
      </c>
      <c r="E47" t="s">
        <v>828</v>
      </c>
    </row>
    <row r="48" spans="1:5" x14ac:dyDescent="0.25">
      <c r="A48">
        <v>86</v>
      </c>
      <c r="B48" t="str">
        <f>"2886"</f>
        <v>2886</v>
      </c>
      <c r="C48" t="s">
        <v>673</v>
      </c>
      <c r="D48" s="1">
        <v>20021</v>
      </c>
      <c r="E48" t="s">
        <v>828</v>
      </c>
    </row>
    <row r="49" spans="1:5" x14ac:dyDescent="0.25">
      <c r="A49">
        <v>52</v>
      </c>
      <c r="B49" t="str">
        <f>"5443"</f>
        <v>5443</v>
      </c>
      <c r="C49" t="s">
        <v>674</v>
      </c>
      <c r="D49" s="1">
        <v>19734</v>
      </c>
      <c r="E49" t="s">
        <v>829</v>
      </c>
    </row>
    <row r="50" spans="1:5" x14ac:dyDescent="0.25">
      <c r="A50">
        <v>62</v>
      </c>
      <c r="B50" t="str">
        <f>"2881"</f>
        <v>2881</v>
      </c>
      <c r="C50" t="s">
        <v>675</v>
      </c>
      <c r="D50" s="1">
        <v>19425</v>
      </c>
      <c r="E50" t="s">
        <v>828</v>
      </c>
    </row>
    <row r="51" spans="1:5" x14ac:dyDescent="0.25">
      <c r="A51">
        <v>205</v>
      </c>
      <c r="B51" t="str">
        <f>"2489"</f>
        <v>2489</v>
      </c>
      <c r="C51" t="s">
        <v>676</v>
      </c>
      <c r="D51" s="1">
        <v>19228</v>
      </c>
      <c r="E51" t="s">
        <v>828</v>
      </c>
    </row>
    <row r="52" spans="1:5" x14ac:dyDescent="0.25">
      <c r="A52">
        <v>189</v>
      </c>
      <c r="B52" t="str">
        <f>"3706"</f>
        <v>3706</v>
      </c>
      <c r="C52" t="s">
        <v>677</v>
      </c>
      <c r="D52" s="1">
        <v>18633</v>
      </c>
      <c r="E52" t="s">
        <v>828</v>
      </c>
    </row>
    <row r="53" spans="1:5" x14ac:dyDescent="0.25">
      <c r="A53">
        <v>122</v>
      </c>
      <c r="B53" t="str">
        <f>"3037"</f>
        <v>3037</v>
      </c>
      <c r="C53" t="s">
        <v>678</v>
      </c>
      <c r="D53" s="1">
        <v>18550</v>
      </c>
      <c r="E53" t="s">
        <v>828</v>
      </c>
    </row>
    <row r="54" spans="1:5" x14ac:dyDescent="0.25">
      <c r="A54">
        <v>16</v>
      </c>
      <c r="B54" t="str">
        <f>"1785"</f>
        <v>1785</v>
      </c>
      <c r="C54" t="s">
        <v>679</v>
      </c>
      <c r="D54" s="1">
        <v>18345</v>
      </c>
      <c r="E54" t="s">
        <v>829</v>
      </c>
    </row>
    <row r="55" spans="1:5" x14ac:dyDescent="0.25">
      <c r="A55">
        <v>137</v>
      </c>
      <c r="B55" t="str">
        <f>"2880"</f>
        <v>2880</v>
      </c>
      <c r="C55" t="s">
        <v>680</v>
      </c>
      <c r="D55" s="1">
        <v>17893</v>
      </c>
      <c r="E55" t="s">
        <v>828</v>
      </c>
    </row>
    <row r="56" spans="1:5" x14ac:dyDescent="0.25">
      <c r="A56">
        <v>206</v>
      </c>
      <c r="B56" t="str">
        <f>"1101"</f>
        <v>1101</v>
      </c>
      <c r="C56" t="s">
        <v>681</v>
      </c>
      <c r="D56" s="1">
        <v>16808</v>
      </c>
      <c r="E56" t="s">
        <v>828</v>
      </c>
    </row>
    <row r="57" spans="1:5" x14ac:dyDescent="0.25">
      <c r="A57">
        <v>125</v>
      </c>
      <c r="B57" t="str">
        <f>"2408"</f>
        <v>2408</v>
      </c>
      <c r="C57" t="s">
        <v>682</v>
      </c>
      <c r="D57" s="1">
        <v>16474</v>
      </c>
      <c r="E57" t="s">
        <v>828</v>
      </c>
    </row>
    <row r="58" spans="1:5" x14ac:dyDescent="0.25">
      <c r="A58">
        <v>160</v>
      </c>
      <c r="B58" t="str">
        <f>"2892"</f>
        <v>2892</v>
      </c>
      <c r="C58" t="s">
        <v>683</v>
      </c>
      <c r="D58" s="1">
        <v>16370</v>
      </c>
      <c r="E58" t="s">
        <v>828</v>
      </c>
    </row>
    <row r="59" spans="1:5" x14ac:dyDescent="0.25">
      <c r="A59">
        <v>238</v>
      </c>
      <c r="B59" t="str">
        <f>"2464"</f>
        <v>2464</v>
      </c>
      <c r="C59" t="s">
        <v>684</v>
      </c>
      <c r="D59" s="1">
        <v>16213</v>
      </c>
      <c r="E59" t="s">
        <v>828</v>
      </c>
    </row>
    <row r="60" spans="1:5" x14ac:dyDescent="0.25">
      <c r="A60">
        <v>99</v>
      </c>
      <c r="B60" t="str">
        <f>"1605"</f>
        <v>1605</v>
      </c>
      <c r="C60" t="s">
        <v>685</v>
      </c>
      <c r="D60" s="1">
        <v>16107</v>
      </c>
      <c r="E60" t="s">
        <v>828</v>
      </c>
    </row>
    <row r="61" spans="1:5" x14ac:dyDescent="0.25">
      <c r="A61">
        <v>212</v>
      </c>
      <c r="B61" t="str">
        <f>"2801"</f>
        <v>2801</v>
      </c>
      <c r="C61" t="s">
        <v>686</v>
      </c>
      <c r="D61" s="1">
        <v>15732</v>
      </c>
      <c r="E61" t="s">
        <v>828</v>
      </c>
    </row>
    <row r="62" spans="1:5" x14ac:dyDescent="0.25">
      <c r="A62">
        <v>33</v>
      </c>
      <c r="B62" t="str">
        <f>"3711"</f>
        <v>3711</v>
      </c>
      <c r="C62" t="s">
        <v>687</v>
      </c>
      <c r="D62" s="1">
        <v>15621</v>
      </c>
      <c r="E62" t="s">
        <v>828</v>
      </c>
    </row>
    <row r="63" spans="1:5" x14ac:dyDescent="0.25">
      <c r="A63">
        <v>259</v>
      </c>
      <c r="B63" t="str">
        <f>"8064"</f>
        <v>8064</v>
      </c>
      <c r="C63" t="s">
        <v>688</v>
      </c>
      <c r="D63" s="1">
        <v>15507</v>
      </c>
      <c r="E63" t="s">
        <v>829</v>
      </c>
    </row>
    <row r="64" spans="1:5" x14ac:dyDescent="0.25">
      <c r="A64">
        <v>254</v>
      </c>
      <c r="B64" t="str">
        <f>"9945"</f>
        <v>9945</v>
      </c>
      <c r="C64" t="s">
        <v>689</v>
      </c>
      <c r="D64" s="1">
        <v>15081</v>
      </c>
      <c r="E64" t="s">
        <v>828</v>
      </c>
    </row>
    <row r="65" spans="1:5" x14ac:dyDescent="0.25">
      <c r="A65">
        <v>103</v>
      </c>
      <c r="B65" t="str">
        <f>"5347"</f>
        <v>5347</v>
      </c>
      <c r="C65" t="s">
        <v>690</v>
      </c>
      <c r="D65" s="1">
        <v>14755</v>
      </c>
      <c r="E65" t="s">
        <v>829</v>
      </c>
    </row>
    <row r="66" spans="1:5" x14ac:dyDescent="0.25">
      <c r="A66">
        <v>26</v>
      </c>
      <c r="B66" t="str">
        <f>"2349"</f>
        <v>2349</v>
      </c>
      <c r="C66" t="s">
        <v>691</v>
      </c>
      <c r="D66" s="1">
        <v>14600</v>
      </c>
      <c r="E66" t="s">
        <v>828</v>
      </c>
    </row>
    <row r="67" spans="1:5" x14ac:dyDescent="0.25">
      <c r="A67">
        <v>248</v>
      </c>
      <c r="B67" t="str">
        <f>"2323"</f>
        <v>2323</v>
      </c>
      <c r="C67" t="s">
        <v>692</v>
      </c>
      <c r="D67" s="1">
        <v>14526</v>
      </c>
      <c r="E67" t="s">
        <v>828</v>
      </c>
    </row>
    <row r="68" spans="1:5" x14ac:dyDescent="0.25">
      <c r="A68">
        <v>207</v>
      </c>
      <c r="B68" t="str">
        <f>"3017"</f>
        <v>3017</v>
      </c>
      <c r="C68" t="s">
        <v>693</v>
      </c>
      <c r="D68" s="1">
        <v>14329</v>
      </c>
      <c r="E68" t="s">
        <v>828</v>
      </c>
    </row>
    <row r="69" spans="1:5" x14ac:dyDescent="0.25">
      <c r="A69">
        <v>252</v>
      </c>
      <c r="B69" t="str">
        <f>"1503"</f>
        <v>1503</v>
      </c>
      <c r="C69" t="s">
        <v>694</v>
      </c>
      <c r="D69" s="1">
        <v>14280</v>
      </c>
      <c r="E69" t="s">
        <v>828</v>
      </c>
    </row>
    <row r="70" spans="1:5" x14ac:dyDescent="0.25">
      <c r="A70">
        <v>246</v>
      </c>
      <c r="B70" t="str">
        <f>"1504"</f>
        <v>1504</v>
      </c>
      <c r="C70" t="s">
        <v>695</v>
      </c>
      <c r="D70" s="1">
        <v>14070</v>
      </c>
      <c r="E70" t="s">
        <v>828</v>
      </c>
    </row>
    <row r="71" spans="1:5" x14ac:dyDescent="0.25">
      <c r="A71">
        <v>119</v>
      </c>
      <c r="B71" t="str">
        <f>"2374"</f>
        <v>2374</v>
      </c>
      <c r="C71" t="s">
        <v>696</v>
      </c>
      <c r="D71" s="1">
        <v>13693</v>
      </c>
      <c r="E71" t="s">
        <v>828</v>
      </c>
    </row>
    <row r="72" spans="1:5" x14ac:dyDescent="0.25">
      <c r="A72">
        <v>19</v>
      </c>
      <c r="B72" t="str">
        <f>"3062"</f>
        <v>3062</v>
      </c>
      <c r="C72" t="s">
        <v>697</v>
      </c>
      <c r="D72" s="1">
        <v>13585</v>
      </c>
      <c r="E72" t="s">
        <v>828</v>
      </c>
    </row>
    <row r="73" spans="1:5" x14ac:dyDescent="0.25">
      <c r="A73">
        <v>158</v>
      </c>
      <c r="B73" t="str">
        <f>"8028"</f>
        <v>8028</v>
      </c>
      <c r="C73" t="s">
        <v>698</v>
      </c>
      <c r="D73" s="1">
        <v>12942</v>
      </c>
      <c r="E73" t="s">
        <v>828</v>
      </c>
    </row>
    <row r="74" spans="1:5" x14ac:dyDescent="0.25">
      <c r="A74">
        <v>214</v>
      </c>
      <c r="B74" t="str">
        <f>"2337"</f>
        <v>2337</v>
      </c>
      <c r="C74" t="s">
        <v>699</v>
      </c>
      <c r="D74" s="1">
        <v>12938</v>
      </c>
      <c r="E74" t="s">
        <v>828</v>
      </c>
    </row>
    <row r="75" spans="1:5" x14ac:dyDescent="0.25">
      <c r="A75">
        <v>178</v>
      </c>
      <c r="B75" t="str">
        <f>"9904"</f>
        <v>9904</v>
      </c>
      <c r="C75" t="s">
        <v>700</v>
      </c>
      <c r="D75" s="1">
        <v>12191</v>
      </c>
      <c r="E75" t="s">
        <v>828</v>
      </c>
    </row>
    <row r="76" spans="1:5" x14ac:dyDescent="0.25">
      <c r="A76">
        <v>77</v>
      </c>
      <c r="B76" t="str">
        <f>"4909"</f>
        <v>4909</v>
      </c>
      <c r="C76" t="s">
        <v>4</v>
      </c>
      <c r="D76" s="1">
        <v>11982</v>
      </c>
      <c r="E76" t="s">
        <v>829</v>
      </c>
    </row>
    <row r="77" spans="1:5" x14ac:dyDescent="0.25">
      <c r="A77">
        <v>152</v>
      </c>
      <c r="B77" t="str">
        <f>"6274"</f>
        <v>6274</v>
      </c>
      <c r="C77" t="s">
        <v>701</v>
      </c>
      <c r="D77" s="1">
        <v>11862</v>
      </c>
      <c r="E77" t="s">
        <v>829</v>
      </c>
    </row>
    <row r="78" spans="1:5" x14ac:dyDescent="0.25">
      <c r="A78">
        <v>109</v>
      </c>
      <c r="B78" t="str">
        <f>"3163"</f>
        <v>3163</v>
      </c>
      <c r="C78" t="s">
        <v>3</v>
      </c>
      <c r="D78" s="1">
        <v>11697</v>
      </c>
      <c r="E78" t="s">
        <v>829</v>
      </c>
    </row>
    <row r="79" spans="1:5" x14ac:dyDescent="0.25">
      <c r="A79">
        <v>157</v>
      </c>
      <c r="B79" t="str">
        <f>"2308"</f>
        <v>2308</v>
      </c>
      <c r="C79" t="s">
        <v>702</v>
      </c>
      <c r="D79" s="1">
        <v>11371</v>
      </c>
      <c r="E79" t="s">
        <v>828</v>
      </c>
    </row>
    <row r="80" spans="1:5" x14ac:dyDescent="0.25">
      <c r="A80">
        <v>142</v>
      </c>
      <c r="B80" t="str">
        <f>"1303"</f>
        <v>1303</v>
      </c>
      <c r="C80" t="s">
        <v>703</v>
      </c>
      <c r="D80" s="1">
        <v>11335</v>
      </c>
      <c r="E80" t="s">
        <v>828</v>
      </c>
    </row>
    <row r="81" spans="1:5" x14ac:dyDescent="0.25">
      <c r="A81">
        <v>201</v>
      </c>
      <c r="B81" t="str">
        <f>"5880"</f>
        <v>5880</v>
      </c>
      <c r="C81" t="s">
        <v>704</v>
      </c>
      <c r="D81" s="1">
        <v>11128</v>
      </c>
      <c r="E81" t="s">
        <v>828</v>
      </c>
    </row>
    <row r="82" spans="1:5" x14ac:dyDescent="0.25">
      <c r="A82">
        <v>223</v>
      </c>
      <c r="B82" t="str">
        <f>"6005"</f>
        <v>6005</v>
      </c>
      <c r="C82" t="s">
        <v>705</v>
      </c>
      <c r="D82" s="1">
        <v>11051</v>
      </c>
      <c r="E82" t="s">
        <v>828</v>
      </c>
    </row>
    <row r="83" spans="1:5" x14ac:dyDescent="0.25">
      <c r="A83">
        <v>164</v>
      </c>
      <c r="B83" t="str">
        <f>"4938"</f>
        <v>4938</v>
      </c>
      <c r="C83" t="s">
        <v>706</v>
      </c>
      <c r="D83" s="1">
        <v>10791</v>
      </c>
      <c r="E83" t="s">
        <v>828</v>
      </c>
    </row>
    <row r="84" spans="1:5" x14ac:dyDescent="0.25">
      <c r="A84">
        <v>63</v>
      </c>
      <c r="B84" t="str">
        <f>"1301"</f>
        <v>1301</v>
      </c>
      <c r="C84" t="s">
        <v>707</v>
      </c>
      <c r="D84" s="1">
        <v>10780</v>
      </c>
      <c r="E84" t="s">
        <v>828</v>
      </c>
    </row>
    <row r="85" spans="1:5" x14ac:dyDescent="0.25">
      <c r="A85">
        <v>169</v>
      </c>
      <c r="B85" t="str">
        <f>"2889"</f>
        <v>2889</v>
      </c>
      <c r="C85" t="s">
        <v>708</v>
      </c>
      <c r="D85" s="1">
        <v>10731</v>
      </c>
      <c r="E85" t="s">
        <v>828</v>
      </c>
    </row>
    <row r="86" spans="1:5" x14ac:dyDescent="0.25">
      <c r="A86">
        <v>283</v>
      </c>
      <c r="B86" t="str">
        <f>"3035"</f>
        <v>3035</v>
      </c>
      <c r="C86" t="s">
        <v>709</v>
      </c>
      <c r="D86" s="1">
        <v>10627</v>
      </c>
      <c r="E86" t="s">
        <v>828</v>
      </c>
    </row>
    <row r="87" spans="1:5" x14ac:dyDescent="0.25">
      <c r="A87">
        <v>241</v>
      </c>
      <c r="B87" t="str">
        <f>"2412"</f>
        <v>2412</v>
      </c>
      <c r="C87" t="s">
        <v>710</v>
      </c>
      <c r="D87" s="1">
        <v>10531</v>
      </c>
      <c r="E87" t="s">
        <v>828</v>
      </c>
    </row>
    <row r="88" spans="1:5" x14ac:dyDescent="0.25">
      <c r="A88">
        <v>181</v>
      </c>
      <c r="B88" t="str">
        <f>"2542"</f>
        <v>2542</v>
      </c>
      <c r="C88" t="s">
        <v>711</v>
      </c>
      <c r="D88" s="1">
        <v>10334</v>
      </c>
      <c r="E88" t="s">
        <v>828</v>
      </c>
    </row>
    <row r="89" spans="1:5" x14ac:dyDescent="0.25">
      <c r="A89">
        <v>280</v>
      </c>
      <c r="B89" t="str">
        <f>"3576"</f>
        <v>3576</v>
      </c>
      <c r="C89" t="s">
        <v>712</v>
      </c>
      <c r="D89" s="1">
        <v>10245</v>
      </c>
      <c r="E89" t="s">
        <v>828</v>
      </c>
    </row>
    <row r="90" spans="1:5" x14ac:dyDescent="0.25">
      <c r="A90">
        <v>120</v>
      </c>
      <c r="B90" t="str">
        <f>"3363"</f>
        <v>3363</v>
      </c>
      <c r="C90" t="s">
        <v>5</v>
      </c>
      <c r="D90" s="1">
        <v>10137</v>
      </c>
      <c r="E90" t="s">
        <v>829</v>
      </c>
    </row>
    <row r="91" spans="1:5" x14ac:dyDescent="0.25">
      <c r="A91">
        <v>227</v>
      </c>
      <c r="B91" t="str">
        <f>"4906"</f>
        <v>4906</v>
      </c>
      <c r="C91" t="s">
        <v>713</v>
      </c>
      <c r="D91" s="1">
        <v>10004</v>
      </c>
      <c r="E91" t="s">
        <v>828</v>
      </c>
    </row>
    <row r="92" spans="1:5" x14ac:dyDescent="0.25">
      <c r="A92">
        <v>111</v>
      </c>
      <c r="B92" t="str">
        <f>"6116"</f>
        <v>6116</v>
      </c>
      <c r="C92" t="s">
        <v>714</v>
      </c>
      <c r="D92" s="1">
        <v>9977</v>
      </c>
      <c r="E92" t="s">
        <v>828</v>
      </c>
    </row>
    <row r="93" spans="1:5" x14ac:dyDescent="0.25">
      <c r="A93">
        <v>75</v>
      </c>
      <c r="B93" t="str">
        <f>"4958"</f>
        <v>4958</v>
      </c>
      <c r="C93" t="s">
        <v>715</v>
      </c>
      <c r="D93" s="1">
        <v>9975</v>
      </c>
      <c r="E93" t="s">
        <v>828</v>
      </c>
    </row>
    <row r="94" spans="1:5" x14ac:dyDescent="0.25">
      <c r="A94">
        <v>262</v>
      </c>
      <c r="B94" t="str">
        <f>"8112"</f>
        <v>8112</v>
      </c>
      <c r="C94" t="s">
        <v>716</v>
      </c>
      <c r="D94" s="1">
        <v>9924</v>
      </c>
      <c r="E94" t="s">
        <v>828</v>
      </c>
    </row>
    <row r="95" spans="1:5" x14ac:dyDescent="0.25">
      <c r="A95">
        <v>131</v>
      </c>
      <c r="B95" t="str">
        <f>"3715"</f>
        <v>3715</v>
      </c>
      <c r="C95" t="s">
        <v>717</v>
      </c>
      <c r="D95" s="1">
        <v>9891</v>
      </c>
      <c r="E95" t="s">
        <v>828</v>
      </c>
    </row>
    <row r="96" spans="1:5" x14ac:dyDescent="0.25">
      <c r="A96">
        <v>270</v>
      </c>
      <c r="B96" t="str">
        <f>"2543"</f>
        <v>2543</v>
      </c>
      <c r="C96" t="s">
        <v>718</v>
      </c>
      <c r="D96" s="1">
        <v>9779</v>
      </c>
      <c r="E96" t="s">
        <v>828</v>
      </c>
    </row>
    <row r="97" spans="1:5" x14ac:dyDescent="0.25">
      <c r="A97">
        <v>174</v>
      </c>
      <c r="B97" t="str">
        <f>"1216"</f>
        <v>1216</v>
      </c>
      <c r="C97" t="s">
        <v>719</v>
      </c>
      <c r="D97" s="1">
        <v>9652</v>
      </c>
      <c r="E97" t="s">
        <v>828</v>
      </c>
    </row>
    <row r="98" spans="1:5" x14ac:dyDescent="0.25">
      <c r="A98">
        <v>176</v>
      </c>
      <c r="B98" t="str">
        <f>"3376"</f>
        <v>3376</v>
      </c>
      <c r="C98" t="s">
        <v>720</v>
      </c>
      <c r="D98" s="1">
        <v>9637</v>
      </c>
      <c r="E98" t="s">
        <v>828</v>
      </c>
    </row>
    <row r="99" spans="1:5" x14ac:dyDescent="0.25">
      <c r="A99">
        <v>166</v>
      </c>
      <c r="B99" t="str">
        <f>"2504"</f>
        <v>2504</v>
      </c>
      <c r="C99" t="s">
        <v>721</v>
      </c>
      <c r="D99" s="1">
        <v>8931</v>
      </c>
      <c r="E99" t="s">
        <v>828</v>
      </c>
    </row>
    <row r="100" spans="1:5" x14ac:dyDescent="0.25">
      <c r="A100">
        <v>179</v>
      </c>
      <c r="B100" t="str">
        <f>"2388"</f>
        <v>2388</v>
      </c>
      <c r="C100" t="s">
        <v>722</v>
      </c>
      <c r="D100" s="1">
        <v>8799</v>
      </c>
      <c r="E100" t="s">
        <v>828</v>
      </c>
    </row>
    <row r="101" spans="1:5" x14ac:dyDescent="0.25">
      <c r="A101">
        <v>233</v>
      </c>
      <c r="B101" t="str">
        <f>"1402"</f>
        <v>1402</v>
      </c>
      <c r="C101" t="s">
        <v>723</v>
      </c>
      <c r="D101" s="1">
        <v>8698</v>
      </c>
      <c r="E101" t="s">
        <v>828</v>
      </c>
    </row>
    <row r="102" spans="1:5" x14ac:dyDescent="0.25">
      <c r="A102">
        <v>124</v>
      </c>
      <c r="B102" t="str">
        <f>"2845"</f>
        <v>2845</v>
      </c>
      <c r="C102" t="s">
        <v>724</v>
      </c>
      <c r="D102" s="1">
        <v>8615</v>
      </c>
      <c r="E102" t="s">
        <v>828</v>
      </c>
    </row>
    <row r="103" spans="1:5" x14ac:dyDescent="0.25">
      <c r="A103">
        <v>299</v>
      </c>
      <c r="B103" t="str">
        <f>"6443"</f>
        <v>6443</v>
      </c>
      <c r="C103" t="s">
        <v>725</v>
      </c>
      <c r="D103" s="1">
        <v>8570</v>
      </c>
      <c r="E103" t="s">
        <v>828</v>
      </c>
    </row>
    <row r="104" spans="1:5" x14ac:dyDescent="0.25">
      <c r="A104">
        <v>153</v>
      </c>
      <c r="B104" t="str">
        <f>"1519"</f>
        <v>1519</v>
      </c>
      <c r="C104" t="s">
        <v>726</v>
      </c>
      <c r="D104" s="1">
        <v>8463</v>
      </c>
      <c r="E104" t="s">
        <v>828</v>
      </c>
    </row>
    <row r="105" spans="1:5" x14ac:dyDescent="0.25">
      <c r="A105">
        <v>284</v>
      </c>
      <c r="B105" t="str">
        <f>"3260"</f>
        <v>3260</v>
      </c>
      <c r="C105" t="s">
        <v>727</v>
      </c>
      <c r="D105" s="1">
        <v>8440</v>
      </c>
      <c r="E105" t="s">
        <v>829</v>
      </c>
    </row>
    <row r="106" spans="1:5" x14ac:dyDescent="0.25">
      <c r="A106">
        <v>58</v>
      </c>
      <c r="B106" t="str">
        <f>"1540"</f>
        <v>1540</v>
      </c>
      <c r="C106" t="s">
        <v>728</v>
      </c>
      <c r="D106" s="1">
        <v>8233</v>
      </c>
      <c r="E106" t="s">
        <v>828</v>
      </c>
    </row>
    <row r="107" spans="1:5" x14ac:dyDescent="0.25">
      <c r="A107">
        <v>228</v>
      </c>
      <c r="B107" t="str">
        <f>"9958"</f>
        <v>9958</v>
      </c>
      <c r="C107" t="s">
        <v>729</v>
      </c>
      <c r="D107" s="1">
        <v>8178</v>
      </c>
      <c r="E107" t="s">
        <v>828</v>
      </c>
    </row>
    <row r="108" spans="1:5" x14ac:dyDescent="0.25">
      <c r="A108">
        <v>256</v>
      </c>
      <c r="B108" t="str">
        <f>"2402"</f>
        <v>2402</v>
      </c>
      <c r="C108" t="s">
        <v>730</v>
      </c>
      <c r="D108" s="1">
        <v>8011</v>
      </c>
      <c r="E108" t="s">
        <v>828</v>
      </c>
    </row>
    <row r="109" spans="1:5" x14ac:dyDescent="0.25">
      <c r="A109">
        <v>87</v>
      </c>
      <c r="B109" t="str">
        <f>"3189"</f>
        <v>3189</v>
      </c>
      <c r="C109" t="s">
        <v>731</v>
      </c>
      <c r="D109" s="1">
        <v>7999</v>
      </c>
      <c r="E109" t="s">
        <v>828</v>
      </c>
    </row>
    <row r="110" spans="1:5" x14ac:dyDescent="0.25">
      <c r="A110">
        <v>236</v>
      </c>
      <c r="B110" t="str">
        <f>"3702"</f>
        <v>3702</v>
      </c>
      <c r="C110" t="s">
        <v>732</v>
      </c>
      <c r="D110" s="1">
        <v>7980</v>
      </c>
      <c r="E110" t="s">
        <v>828</v>
      </c>
    </row>
    <row r="111" spans="1:5" x14ac:dyDescent="0.25">
      <c r="A111">
        <v>234</v>
      </c>
      <c r="B111" t="str">
        <f>"2105"</f>
        <v>2105</v>
      </c>
      <c r="C111" t="s">
        <v>733</v>
      </c>
      <c r="D111" s="1">
        <v>7823</v>
      </c>
      <c r="E111" t="s">
        <v>828</v>
      </c>
    </row>
    <row r="112" spans="1:5" x14ac:dyDescent="0.25">
      <c r="A112">
        <v>185</v>
      </c>
      <c r="B112" t="str">
        <f>"2454"</f>
        <v>2454</v>
      </c>
      <c r="C112" t="s">
        <v>734</v>
      </c>
      <c r="D112" s="1">
        <v>7792</v>
      </c>
      <c r="E112" t="s">
        <v>828</v>
      </c>
    </row>
    <row r="113" spans="1:5" x14ac:dyDescent="0.25">
      <c r="A113">
        <v>192</v>
      </c>
      <c r="B113" t="str">
        <f>"6215"</f>
        <v>6215</v>
      </c>
      <c r="C113" t="s">
        <v>735</v>
      </c>
      <c r="D113" s="1">
        <v>7776</v>
      </c>
      <c r="E113" t="s">
        <v>828</v>
      </c>
    </row>
    <row r="114" spans="1:5" x14ac:dyDescent="0.25">
      <c r="A114">
        <v>210</v>
      </c>
      <c r="B114" t="str">
        <f>"4904"</f>
        <v>4904</v>
      </c>
      <c r="C114" t="s">
        <v>736</v>
      </c>
      <c r="D114" s="1">
        <v>7771</v>
      </c>
      <c r="E114" t="s">
        <v>828</v>
      </c>
    </row>
    <row r="115" spans="1:5" x14ac:dyDescent="0.25">
      <c r="A115">
        <v>194</v>
      </c>
      <c r="B115" t="str">
        <f>"3374"</f>
        <v>3374</v>
      </c>
      <c r="C115" t="s">
        <v>6</v>
      </c>
      <c r="D115" s="1">
        <v>7669</v>
      </c>
      <c r="E115" t="s">
        <v>829</v>
      </c>
    </row>
    <row r="116" spans="1:5" x14ac:dyDescent="0.25">
      <c r="A116">
        <v>140</v>
      </c>
      <c r="B116" t="str">
        <f>"1102"</f>
        <v>1102</v>
      </c>
      <c r="C116" t="s">
        <v>737</v>
      </c>
      <c r="D116" s="1">
        <v>7569</v>
      </c>
      <c r="E116" t="s">
        <v>828</v>
      </c>
    </row>
    <row r="117" spans="1:5" x14ac:dyDescent="0.25">
      <c r="A117">
        <v>115</v>
      </c>
      <c r="B117" t="str">
        <f>"3045"</f>
        <v>3045</v>
      </c>
      <c r="C117" t="s">
        <v>738</v>
      </c>
      <c r="D117" s="1">
        <v>7485</v>
      </c>
      <c r="E117" t="s">
        <v>828</v>
      </c>
    </row>
    <row r="118" spans="1:5" x14ac:dyDescent="0.25">
      <c r="A118">
        <v>11</v>
      </c>
      <c r="B118" t="str">
        <f>"1711"</f>
        <v>1711</v>
      </c>
      <c r="C118" t="s">
        <v>739</v>
      </c>
      <c r="D118" s="1">
        <v>7254</v>
      </c>
      <c r="E118" t="s">
        <v>828</v>
      </c>
    </row>
    <row r="119" spans="1:5" x14ac:dyDescent="0.25">
      <c r="A119">
        <v>31</v>
      </c>
      <c r="B119" t="str">
        <f>"4979"</f>
        <v>4979</v>
      </c>
      <c r="C119" t="s">
        <v>8</v>
      </c>
      <c r="D119" s="1">
        <v>7228</v>
      </c>
      <c r="E119" t="s">
        <v>829</v>
      </c>
    </row>
    <row r="120" spans="1:5" x14ac:dyDescent="0.25">
      <c r="A120">
        <v>110</v>
      </c>
      <c r="B120" t="str">
        <f>"5871"</f>
        <v>5871</v>
      </c>
      <c r="C120" t="s">
        <v>740</v>
      </c>
      <c r="D120" s="1">
        <v>7121</v>
      </c>
      <c r="E120" t="s">
        <v>828</v>
      </c>
    </row>
    <row r="121" spans="1:5" x14ac:dyDescent="0.25">
      <c r="A121">
        <v>244</v>
      </c>
      <c r="B121" t="str">
        <f>"5876"</f>
        <v>5876</v>
      </c>
      <c r="C121" t="s">
        <v>741</v>
      </c>
      <c r="D121" s="1">
        <v>7114</v>
      </c>
      <c r="E121" t="s">
        <v>828</v>
      </c>
    </row>
    <row r="122" spans="1:5" x14ac:dyDescent="0.25">
      <c r="A122">
        <v>235</v>
      </c>
      <c r="B122" t="str">
        <f>"6239"</f>
        <v>6239</v>
      </c>
      <c r="C122" t="s">
        <v>742</v>
      </c>
      <c r="D122" s="1">
        <v>7023</v>
      </c>
      <c r="E122" t="s">
        <v>828</v>
      </c>
    </row>
    <row r="123" spans="1:5" x14ac:dyDescent="0.25">
      <c r="A123">
        <v>272</v>
      </c>
      <c r="B123" t="str">
        <f>"3033"</f>
        <v>3033</v>
      </c>
      <c r="C123" t="s">
        <v>743</v>
      </c>
      <c r="D123" s="1">
        <v>7000</v>
      </c>
      <c r="E123" t="s">
        <v>828</v>
      </c>
    </row>
    <row r="124" spans="1:5" x14ac:dyDescent="0.25">
      <c r="A124">
        <v>145</v>
      </c>
      <c r="B124" t="str">
        <f>"3019"</f>
        <v>3019</v>
      </c>
      <c r="C124" t="s">
        <v>744</v>
      </c>
      <c r="D124" s="1">
        <v>6910</v>
      </c>
      <c r="E124" t="s">
        <v>828</v>
      </c>
    </row>
    <row r="125" spans="1:5" x14ac:dyDescent="0.25">
      <c r="A125">
        <v>249</v>
      </c>
      <c r="B125" t="str">
        <f>"8069"</f>
        <v>8069</v>
      </c>
      <c r="C125" t="s">
        <v>7</v>
      </c>
      <c r="D125" s="1">
        <v>6883</v>
      </c>
      <c r="E125" t="s">
        <v>829</v>
      </c>
    </row>
    <row r="126" spans="1:5" x14ac:dyDescent="0.25">
      <c r="A126">
        <v>196</v>
      </c>
      <c r="B126" t="str">
        <f>"8110"</f>
        <v>8110</v>
      </c>
      <c r="C126" t="s">
        <v>745</v>
      </c>
      <c r="D126" s="1">
        <v>6881</v>
      </c>
      <c r="E126" t="s">
        <v>828</v>
      </c>
    </row>
    <row r="127" spans="1:5" x14ac:dyDescent="0.25">
      <c r="A127">
        <v>83</v>
      </c>
      <c r="B127" t="str">
        <f>"4510"</f>
        <v>4510</v>
      </c>
      <c r="C127" t="s">
        <v>746</v>
      </c>
      <c r="D127" s="1">
        <v>6736</v>
      </c>
      <c r="E127" t="s">
        <v>829</v>
      </c>
    </row>
    <row r="128" spans="1:5" x14ac:dyDescent="0.25">
      <c r="A128">
        <v>116</v>
      </c>
      <c r="B128" t="str">
        <f>"1326"</f>
        <v>1326</v>
      </c>
      <c r="C128" t="s">
        <v>747</v>
      </c>
      <c r="D128" s="1">
        <v>6728</v>
      </c>
      <c r="E128" t="s">
        <v>828</v>
      </c>
    </row>
    <row r="129" spans="1:5" x14ac:dyDescent="0.25">
      <c r="A129">
        <v>209</v>
      </c>
      <c r="B129" t="str">
        <f>"2347"</f>
        <v>2347</v>
      </c>
      <c r="C129" t="s">
        <v>748</v>
      </c>
      <c r="D129" s="1">
        <v>6329</v>
      </c>
      <c r="E129" t="s">
        <v>828</v>
      </c>
    </row>
    <row r="130" spans="1:5" x14ac:dyDescent="0.25">
      <c r="A130">
        <v>220</v>
      </c>
      <c r="B130" t="str">
        <f>"4956"</f>
        <v>4956</v>
      </c>
      <c r="C130" t="s">
        <v>749</v>
      </c>
      <c r="D130" s="1">
        <v>6256</v>
      </c>
      <c r="E130" t="s">
        <v>828</v>
      </c>
    </row>
    <row r="131" spans="1:5" x14ac:dyDescent="0.25">
      <c r="A131">
        <v>144</v>
      </c>
      <c r="B131" t="str">
        <f>"3583"</f>
        <v>3583</v>
      </c>
      <c r="C131" t="s">
        <v>750</v>
      </c>
      <c r="D131" s="1">
        <v>6142</v>
      </c>
      <c r="E131" t="s">
        <v>828</v>
      </c>
    </row>
    <row r="132" spans="1:5" x14ac:dyDescent="0.25">
      <c r="A132">
        <v>175</v>
      </c>
      <c r="B132" t="str">
        <f>"2498"</f>
        <v>2498</v>
      </c>
      <c r="C132" t="s">
        <v>751</v>
      </c>
      <c r="D132" s="1">
        <v>6137</v>
      </c>
      <c r="E132" t="s">
        <v>828</v>
      </c>
    </row>
    <row r="133" spans="1:5" x14ac:dyDescent="0.25">
      <c r="A133">
        <v>247</v>
      </c>
      <c r="B133" t="str">
        <f>"2467"</f>
        <v>2467</v>
      </c>
      <c r="C133" t="s">
        <v>752</v>
      </c>
      <c r="D133" s="1">
        <v>5792</v>
      </c>
      <c r="E133" t="s">
        <v>828</v>
      </c>
    </row>
    <row r="134" spans="1:5" x14ac:dyDescent="0.25">
      <c r="A134">
        <v>82</v>
      </c>
      <c r="B134" t="str">
        <f>"3264"</f>
        <v>3264</v>
      </c>
      <c r="C134" t="s">
        <v>753</v>
      </c>
      <c r="D134" s="1">
        <v>5653</v>
      </c>
      <c r="E134" t="s">
        <v>829</v>
      </c>
    </row>
    <row r="135" spans="1:5" x14ac:dyDescent="0.25">
      <c r="A135">
        <v>285</v>
      </c>
      <c r="B135" t="str">
        <f>"5483"</f>
        <v>5483</v>
      </c>
      <c r="C135" t="s">
        <v>9</v>
      </c>
      <c r="D135" s="1">
        <v>5522</v>
      </c>
      <c r="E135" t="s">
        <v>829</v>
      </c>
    </row>
    <row r="136" spans="1:5" x14ac:dyDescent="0.25">
      <c r="A136">
        <v>240</v>
      </c>
      <c r="B136" t="str">
        <f>"6505"</f>
        <v>6505</v>
      </c>
      <c r="C136" t="s">
        <v>754</v>
      </c>
      <c r="D136" s="1">
        <v>5412</v>
      </c>
      <c r="E136" t="s">
        <v>828</v>
      </c>
    </row>
    <row r="137" spans="1:5" x14ac:dyDescent="0.25">
      <c r="A137">
        <v>242</v>
      </c>
      <c r="B137" t="str">
        <f>"3673"</f>
        <v>3673</v>
      </c>
      <c r="C137" t="s">
        <v>755</v>
      </c>
      <c r="D137" s="1">
        <v>5367</v>
      </c>
      <c r="E137" t="s">
        <v>828</v>
      </c>
    </row>
    <row r="138" spans="1:5" x14ac:dyDescent="0.25">
      <c r="A138">
        <v>204</v>
      </c>
      <c r="B138" t="str">
        <f>"8070"</f>
        <v>8070</v>
      </c>
      <c r="C138" t="s">
        <v>756</v>
      </c>
      <c r="D138" s="1">
        <v>5318</v>
      </c>
      <c r="E138" t="s">
        <v>828</v>
      </c>
    </row>
    <row r="139" spans="1:5" x14ac:dyDescent="0.25">
      <c r="A139">
        <v>274</v>
      </c>
      <c r="B139" t="str">
        <f>"2385"</f>
        <v>2385</v>
      </c>
      <c r="C139" t="s">
        <v>757</v>
      </c>
      <c r="D139" s="1">
        <v>5315</v>
      </c>
      <c r="E139" t="s">
        <v>828</v>
      </c>
    </row>
    <row r="140" spans="1:5" x14ac:dyDescent="0.25">
      <c r="A140">
        <v>222</v>
      </c>
      <c r="B140" t="str">
        <f>"3034"</f>
        <v>3034</v>
      </c>
      <c r="C140" t="s">
        <v>758</v>
      </c>
      <c r="D140" s="1">
        <v>5132</v>
      </c>
      <c r="E140" t="s">
        <v>828</v>
      </c>
    </row>
    <row r="141" spans="1:5" x14ac:dyDescent="0.25">
      <c r="A141">
        <v>81</v>
      </c>
      <c r="B141" t="str">
        <f>"6187"</f>
        <v>6187</v>
      </c>
      <c r="C141" t="s">
        <v>10</v>
      </c>
      <c r="D141" s="1">
        <v>4978</v>
      </c>
      <c r="E141" t="s">
        <v>829</v>
      </c>
    </row>
    <row r="142" spans="1:5" x14ac:dyDescent="0.25">
      <c r="A142">
        <v>297</v>
      </c>
      <c r="B142" t="str">
        <f>"8374"</f>
        <v>8374</v>
      </c>
      <c r="C142" t="s">
        <v>759</v>
      </c>
      <c r="D142" s="1">
        <v>4956</v>
      </c>
      <c r="E142" t="s">
        <v>828</v>
      </c>
    </row>
    <row r="143" spans="1:5" x14ac:dyDescent="0.25">
      <c r="A143">
        <v>186</v>
      </c>
      <c r="B143" t="str">
        <f>"4908"</f>
        <v>4908</v>
      </c>
      <c r="C143" t="s">
        <v>760</v>
      </c>
      <c r="D143" s="1">
        <v>4861</v>
      </c>
      <c r="E143" t="s">
        <v>829</v>
      </c>
    </row>
    <row r="144" spans="1:5" x14ac:dyDescent="0.25">
      <c r="A144">
        <v>199</v>
      </c>
      <c r="B144" t="str">
        <f>"2915"</f>
        <v>2915</v>
      </c>
      <c r="C144" t="s">
        <v>761</v>
      </c>
      <c r="D144" s="1">
        <v>4816</v>
      </c>
      <c r="E144" t="s">
        <v>828</v>
      </c>
    </row>
    <row r="145" spans="1:5" x14ac:dyDescent="0.25">
      <c r="A145">
        <v>180</v>
      </c>
      <c r="B145" t="str">
        <f>"2201"</f>
        <v>2201</v>
      </c>
      <c r="C145" t="s">
        <v>762</v>
      </c>
      <c r="D145" s="1">
        <v>4731</v>
      </c>
      <c r="E145" t="s">
        <v>828</v>
      </c>
    </row>
    <row r="146" spans="1:5" x14ac:dyDescent="0.25">
      <c r="A146">
        <v>18</v>
      </c>
      <c r="B146" t="str">
        <f>"2399"</f>
        <v>2399</v>
      </c>
      <c r="C146" t="s">
        <v>763</v>
      </c>
      <c r="D146" s="1">
        <v>4697</v>
      </c>
      <c r="E146" t="s">
        <v>828</v>
      </c>
    </row>
    <row r="147" spans="1:5" x14ac:dyDescent="0.25">
      <c r="A147">
        <v>184</v>
      </c>
      <c r="B147" t="str">
        <f>"4513"</f>
        <v>4513</v>
      </c>
      <c r="C147" t="s">
        <v>764</v>
      </c>
      <c r="D147" s="1">
        <v>4511</v>
      </c>
      <c r="E147" t="s">
        <v>829</v>
      </c>
    </row>
    <row r="148" spans="1:5" x14ac:dyDescent="0.25">
      <c r="A148">
        <v>221</v>
      </c>
      <c r="B148" t="str">
        <f>"8027"</f>
        <v>8027</v>
      </c>
      <c r="C148" t="s">
        <v>11</v>
      </c>
      <c r="D148" s="1">
        <v>4176</v>
      </c>
      <c r="E148" t="s">
        <v>829</v>
      </c>
    </row>
    <row r="149" spans="1:5" x14ac:dyDescent="0.25">
      <c r="A149">
        <v>42</v>
      </c>
      <c r="B149" t="str">
        <f>"5905"</f>
        <v>5905</v>
      </c>
      <c r="C149" t="s">
        <v>13</v>
      </c>
      <c r="D149" s="1">
        <v>4155</v>
      </c>
      <c r="E149" t="s">
        <v>829</v>
      </c>
    </row>
    <row r="150" spans="1:5" x14ac:dyDescent="0.25">
      <c r="A150">
        <v>168</v>
      </c>
      <c r="B150" t="str">
        <f>"6442"</f>
        <v>6442</v>
      </c>
      <c r="C150" t="s">
        <v>765</v>
      </c>
      <c r="D150" s="1">
        <v>4111</v>
      </c>
      <c r="E150" t="s">
        <v>828</v>
      </c>
    </row>
    <row r="151" spans="1:5" x14ac:dyDescent="0.25">
      <c r="A151">
        <v>293</v>
      </c>
      <c r="B151" t="str">
        <f>"3081"</f>
        <v>3081</v>
      </c>
      <c r="C151" t="s">
        <v>12</v>
      </c>
      <c r="D151" s="1">
        <v>3830</v>
      </c>
      <c r="E151" t="s">
        <v>829</v>
      </c>
    </row>
    <row r="152" spans="1:5" x14ac:dyDescent="0.25">
      <c r="A152">
        <v>245</v>
      </c>
      <c r="B152" t="str">
        <f>"1718"</f>
        <v>1718</v>
      </c>
      <c r="C152" t="s">
        <v>766</v>
      </c>
      <c r="D152" s="1">
        <v>3825</v>
      </c>
      <c r="E152" t="s">
        <v>828</v>
      </c>
    </row>
    <row r="153" spans="1:5" x14ac:dyDescent="0.25">
      <c r="A153">
        <v>136</v>
      </c>
      <c r="B153" t="str">
        <f>"1582"</f>
        <v>1582</v>
      </c>
      <c r="C153" t="s">
        <v>767</v>
      </c>
      <c r="D153" s="1">
        <v>3812</v>
      </c>
      <c r="E153" t="s">
        <v>828</v>
      </c>
    </row>
    <row r="154" spans="1:5" x14ac:dyDescent="0.25">
      <c r="A154">
        <v>294</v>
      </c>
      <c r="B154" t="str">
        <f>"2379"</f>
        <v>2379</v>
      </c>
      <c r="C154" t="s">
        <v>768</v>
      </c>
      <c r="D154" s="1">
        <v>3797</v>
      </c>
      <c r="E154" t="s">
        <v>828</v>
      </c>
    </row>
    <row r="155" spans="1:5" x14ac:dyDescent="0.25">
      <c r="A155">
        <v>267</v>
      </c>
      <c r="B155" t="str">
        <f>"6163"</f>
        <v>6163</v>
      </c>
      <c r="C155" t="s">
        <v>769</v>
      </c>
      <c r="D155" s="1">
        <v>3774</v>
      </c>
      <c r="E155" t="s">
        <v>829</v>
      </c>
    </row>
    <row r="156" spans="1:5" x14ac:dyDescent="0.25">
      <c r="A156">
        <v>56</v>
      </c>
      <c r="B156" t="str">
        <f>"6530"</f>
        <v>6530</v>
      </c>
      <c r="C156" t="s">
        <v>17</v>
      </c>
      <c r="D156" s="1">
        <v>3773</v>
      </c>
      <c r="E156" t="s">
        <v>829</v>
      </c>
    </row>
    <row r="157" spans="1:5" x14ac:dyDescent="0.25">
      <c r="A157">
        <v>97</v>
      </c>
      <c r="B157" t="str">
        <f>"8039"</f>
        <v>8039</v>
      </c>
      <c r="C157" t="s">
        <v>770</v>
      </c>
      <c r="D157" s="1">
        <v>3684</v>
      </c>
      <c r="E157" t="s">
        <v>828</v>
      </c>
    </row>
    <row r="158" spans="1:5" x14ac:dyDescent="0.25">
      <c r="A158">
        <v>257</v>
      </c>
      <c r="B158" t="str">
        <f>"1584"</f>
        <v>1584</v>
      </c>
      <c r="C158" t="s">
        <v>771</v>
      </c>
      <c r="D158" s="1">
        <v>3588</v>
      </c>
      <c r="E158" t="s">
        <v>829</v>
      </c>
    </row>
    <row r="159" spans="1:5" x14ac:dyDescent="0.25">
      <c r="A159">
        <v>287</v>
      </c>
      <c r="B159" t="str">
        <f>"5230"</f>
        <v>5230</v>
      </c>
      <c r="C159" t="s">
        <v>14</v>
      </c>
      <c r="D159" s="1">
        <v>3397</v>
      </c>
      <c r="E159" t="s">
        <v>829</v>
      </c>
    </row>
    <row r="160" spans="1:5" x14ac:dyDescent="0.25">
      <c r="A160">
        <v>156</v>
      </c>
      <c r="B160" t="str">
        <f>"3289"</f>
        <v>3289</v>
      </c>
      <c r="C160" t="s">
        <v>772</v>
      </c>
      <c r="D160" s="1">
        <v>3380</v>
      </c>
      <c r="E160" t="s">
        <v>829</v>
      </c>
    </row>
    <row r="161" spans="1:5" x14ac:dyDescent="0.25">
      <c r="A161">
        <v>251</v>
      </c>
      <c r="B161" t="str">
        <f>"2393"</f>
        <v>2393</v>
      </c>
      <c r="C161" t="s">
        <v>773</v>
      </c>
      <c r="D161" s="1">
        <v>3365</v>
      </c>
      <c r="E161" t="s">
        <v>828</v>
      </c>
    </row>
    <row r="162" spans="1:5" x14ac:dyDescent="0.25">
      <c r="A162">
        <v>113</v>
      </c>
      <c r="B162" t="str">
        <f>"3227"</f>
        <v>3227</v>
      </c>
      <c r="C162" t="s">
        <v>774</v>
      </c>
      <c r="D162" s="1">
        <v>3316</v>
      </c>
      <c r="E162" t="s">
        <v>829</v>
      </c>
    </row>
    <row r="163" spans="1:5" x14ac:dyDescent="0.25">
      <c r="A163">
        <v>202</v>
      </c>
      <c r="B163" t="str">
        <f>"6546"</f>
        <v>6546</v>
      </c>
      <c r="C163" t="s">
        <v>15</v>
      </c>
      <c r="D163" s="1">
        <v>3315</v>
      </c>
      <c r="E163" t="s">
        <v>829</v>
      </c>
    </row>
    <row r="164" spans="1:5" x14ac:dyDescent="0.25">
      <c r="A164">
        <v>65</v>
      </c>
      <c r="B164" t="str">
        <f>"6706"</f>
        <v>6706</v>
      </c>
      <c r="C164" t="s">
        <v>775</v>
      </c>
      <c r="D164" s="1">
        <v>3302</v>
      </c>
      <c r="E164" t="s">
        <v>828</v>
      </c>
    </row>
    <row r="165" spans="1:5" x14ac:dyDescent="0.25">
      <c r="A165">
        <v>155</v>
      </c>
      <c r="B165" t="str">
        <f>"3360"</f>
        <v>3360</v>
      </c>
      <c r="C165" t="s">
        <v>16</v>
      </c>
      <c r="D165" s="1">
        <v>3093</v>
      </c>
      <c r="E165" t="s">
        <v>829</v>
      </c>
    </row>
    <row r="166" spans="1:5" x14ac:dyDescent="0.25">
      <c r="A166">
        <v>288</v>
      </c>
      <c r="B166" t="str">
        <f>"3437"</f>
        <v>3437</v>
      </c>
      <c r="C166" t="s">
        <v>776</v>
      </c>
      <c r="D166" s="1">
        <v>3048</v>
      </c>
      <c r="E166" t="s">
        <v>828</v>
      </c>
    </row>
    <row r="167" spans="1:5" x14ac:dyDescent="0.25">
      <c r="A167">
        <v>167</v>
      </c>
      <c r="B167" t="str">
        <f>"4561"</f>
        <v>4561</v>
      </c>
      <c r="C167" t="s">
        <v>18</v>
      </c>
      <c r="D167" s="1">
        <v>3023</v>
      </c>
      <c r="E167" t="s">
        <v>829</v>
      </c>
    </row>
    <row r="168" spans="1:5" x14ac:dyDescent="0.25">
      <c r="A168">
        <v>190</v>
      </c>
      <c r="B168" t="str">
        <f>"1721"</f>
        <v>1721</v>
      </c>
      <c r="C168" t="s">
        <v>777</v>
      </c>
      <c r="D168" s="1">
        <v>3010</v>
      </c>
      <c r="E168" t="s">
        <v>828</v>
      </c>
    </row>
    <row r="169" spans="1:5" x14ac:dyDescent="0.25">
      <c r="A169">
        <v>232</v>
      </c>
      <c r="B169" t="str">
        <f>"6143"</f>
        <v>6143</v>
      </c>
      <c r="C169" t="s">
        <v>778</v>
      </c>
      <c r="D169" s="1">
        <v>2997</v>
      </c>
      <c r="E169" t="s">
        <v>829</v>
      </c>
    </row>
    <row r="170" spans="1:5" x14ac:dyDescent="0.25">
      <c r="A170">
        <v>269</v>
      </c>
      <c r="B170" t="str">
        <f>"6288"</f>
        <v>6288</v>
      </c>
      <c r="C170" t="s">
        <v>779</v>
      </c>
      <c r="D170" s="1">
        <v>2907</v>
      </c>
      <c r="E170" t="s">
        <v>828</v>
      </c>
    </row>
    <row r="171" spans="1:5" x14ac:dyDescent="0.25">
      <c r="A171">
        <v>159</v>
      </c>
      <c r="B171" t="str">
        <f>"6869"</f>
        <v>6869</v>
      </c>
      <c r="C171" t="s">
        <v>780</v>
      </c>
      <c r="D171" s="1">
        <v>2890</v>
      </c>
      <c r="E171" t="s">
        <v>828</v>
      </c>
    </row>
    <row r="172" spans="1:5" x14ac:dyDescent="0.25">
      <c r="A172">
        <v>258</v>
      </c>
      <c r="B172" t="str">
        <f>"2332"</f>
        <v>2332</v>
      </c>
      <c r="C172" t="s">
        <v>781</v>
      </c>
      <c r="D172" s="1">
        <v>2864</v>
      </c>
      <c r="E172" t="s">
        <v>828</v>
      </c>
    </row>
    <row r="173" spans="1:5" x14ac:dyDescent="0.25">
      <c r="A173">
        <v>55</v>
      </c>
      <c r="B173" t="str">
        <f>"1717"</f>
        <v>1717</v>
      </c>
      <c r="C173" t="s">
        <v>782</v>
      </c>
      <c r="D173" s="1">
        <v>2856</v>
      </c>
      <c r="E173" t="s">
        <v>828</v>
      </c>
    </row>
    <row r="174" spans="1:5" x14ac:dyDescent="0.25">
      <c r="A174">
        <v>39</v>
      </c>
      <c r="B174" t="str">
        <f>"3049"</f>
        <v>3049</v>
      </c>
      <c r="C174" t="s">
        <v>783</v>
      </c>
      <c r="D174" s="1">
        <v>2822</v>
      </c>
      <c r="E174" t="s">
        <v>828</v>
      </c>
    </row>
    <row r="175" spans="1:5" x14ac:dyDescent="0.25">
      <c r="A175">
        <v>208</v>
      </c>
      <c r="B175" t="str">
        <f>"3149"</f>
        <v>3149</v>
      </c>
      <c r="C175" t="s">
        <v>784</v>
      </c>
      <c r="D175" s="1">
        <v>2804</v>
      </c>
      <c r="E175" t="s">
        <v>828</v>
      </c>
    </row>
    <row r="176" spans="1:5" x14ac:dyDescent="0.25">
      <c r="A176">
        <v>290</v>
      </c>
      <c r="B176" t="str">
        <f>"2360"</f>
        <v>2360</v>
      </c>
      <c r="C176" t="s">
        <v>785</v>
      </c>
      <c r="D176" s="1">
        <v>2788</v>
      </c>
      <c r="E176" t="s">
        <v>828</v>
      </c>
    </row>
    <row r="177" spans="1:5" x14ac:dyDescent="0.25">
      <c r="A177">
        <v>291</v>
      </c>
      <c r="B177" t="str">
        <f>"2062"</f>
        <v>2062</v>
      </c>
      <c r="C177" t="s">
        <v>786</v>
      </c>
      <c r="D177" s="1">
        <v>2756</v>
      </c>
      <c r="E177" t="s">
        <v>828</v>
      </c>
    </row>
    <row r="178" spans="1:5" x14ac:dyDescent="0.25">
      <c r="A178">
        <v>273</v>
      </c>
      <c r="B178" t="str">
        <f>"2439"</f>
        <v>2439</v>
      </c>
      <c r="C178" t="s">
        <v>787</v>
      </c>
      <c r="D178" s="1">
        <v>2736</v>
      </c>
      <c r="E178" t="s">
        <v>828</v>
      </c>
    </row>
    <row r="179" spans="1:5" x14ac:dyDescent="0.25">
      <c r="A179">
        <v>76</v>
      </c>
      <c r="B179" t="str">
        <f>"3167"</f>
        <v>3167</v>
      </c>
      <c r="C179" t="s">
        <v>788</v>
      </c>
      <c r="D179" s="1">
        <v>2711</v>
      </c>
      <c r="E179" t="s">
        <v>828</v>
      </c>
    </row>
    <row r="180" spans="1:5" x14ac:dyDescent="0.25">
      <c r="A180">
        <v>300</v>
      </c>
      <c r="B180" t="str">
        <f>"2351"</f>
        <v>2351</v>
      </c>
      <c r="C180" t="s">
        <v>789</v>
      </c>
      <c r="D180" s="1">
        <v>2677</v>
      </c>
      <c r="E180" t="s">
        <v>828</v>
      </c>
    </row>
    <row r="181" spans="1:5" x14ac:dyDescent="0.25">
      <c r="A181">
        <v>104</v>
      </c>
      <c r="B181" t="str">
        <f>"3498"</f>
        <v>3498</v>
      </c>
      <c r="C181" t="s">
        <v>19</v>
      </c>
      <c r="D181" s="1">
        <v>2589</v>
      </c>
      <c r="E181" t="s">
        <v>829</v>
      </c>
    </row>
    <row r="182" spans="1:5" x14ac:dyDescent="0.25">
      <c r="A182">
        <v>135</v>
      </c>
      <c r="B182" t="str">
        <f>"5234"</f>
        <v>5234</v>
      </c>
      <c r="C182" t="s">
        <v>790</v>
      </c>
      <c r="D182" s="1">
        <v>2584</v>
      </c>
      <c r="E182" t="s">
        <v>828</v>
      </c>
    </row>
    <row r="183" spans="1:5" x14ac:dyDescent="0.25">
      <c r="A183">
        <v>296</v>
      </c>
      <c r="B183" t="str">
        <f>"6152"</f>
        <v>6152</v>
      </c>
      <c r="C183" t="s">
        <v>791</v>
      </c>
      <c r="D183" s="1">
        <v>2533</v>
      </c>
      <c r="E183" t="s">
        <v>828</v>
      </c>
    </row>
    <row r="184" spans="1:5" x14ac:dyDescent="0.25">
      <c r="A184">
        <v>68</v>
      </c>
      <c r="B184" t="str">
        <f>"3605"</f>
        <v>3605</v>
      </c>
      <c r="C184" t="s">
        <v>792</v>
      </c>
      <c r="D184" s="1">
        <v>2507</v>
      </c>
      <c r="E184" t="s">
        <v>828</v>
      </c>
    </row>
    <row r="185" spans="1:5" x14ac:dyDescent="0.25">
      <c r="A185">
        <v>226</v>
      </c>
      <c r="B185" t="str">
        <f>"1304"</f>
        <v>1304</v>
      </c>
      <c r="C185" t="s">
        <v>793</v>
      </c>
      <c r="D185" s="1">
        <v>2403</v>
      </c>
      <c r="E185" t="s">
        <v>828</v>
      </c>
    </row>
    <row r="186" spans="1:5" x14ac:dyDescent="0.25">
      <c r="A186">
        <v>141</v>
      </c>
      <c r="B186" t="str">
        <f>"4716"</f>
        <v>4716</v>
      </c>
      <c r="C186" t="s">
        <v>20</v>
      </c>
      <c r="D186" s="1">
        <v>2291</v>
      </c>
      <c r="E186" t="s">
        <v>829</v>
      </c>
    </row>
    <row r="187" spans="1:5" x14ac:dyDescent="0.25">
      <c r="A187">
        <v>215</v>
      </c>
      <c r="B187" t="str">
        <f>"1708"</f>
        <v>1708</v>
      </c>
      <c r="C187" t="s">
        <v>794</v>
      </c>
      <c r="D187" s="1">
        <v>2240</v>
      </c>
      <c r="E187" t="s">
        <v>828</v>
      </c>
    </row>
    <row r="188" spans="1:5" x14ac:dyDescent="0.25">
      <c r="A188">
        <v>84</v>
      </c>
      <c r="B188" t="str">
        <f>"2497"</f>
        <v>2497</v>
      </c>
      <c r="C188" t="s">
        <v>795</v>
      </c>
      <c r="D188" s="1">
        <v>2177</v>
      </c>
      <c r="E188" t="s">
        <v>828</v>
      </c>
    </row>
    <row r="189" spans="1:5" x14ac:dyDescent="0.25">
      <c r="A189">
        <v>30</v>
      </c>
      <c r="B189" t="str">
        <f>"1727"</f>
        <v>1727</v>
      </c>
      <c r="C189" t="s">
        <v>796</v>
      </c>
      <c r="D189" s="1">
        <v>2134</v>
      </c>
      <c r="E189" t="s">
        <v>828</v>
      </c>
    </row>
    <row r="190" spans="1:5" x14ac:dyDescent="0.25">
      <c r="A190">
        <v>165</v>
      </c>
      <c r="B190" t="str">
        <f>"3581"</f>
        <v>3581</v>
      </c>
      <c r="C190" t="s">
        <v>21</v>
      </c>
      <c r="D190" s="1">
        <v>2124</v>
      </c>
      <c r="E190" t="s">
        <v>829</v>
      </c>
    </row>
    <row r="191" spans="1:5" x14ac:dyDescent="0.25">
      <c r="A191">
        <v>90</v>
      </c>
      <c r="B191" t="str">
        <f>"6104"</f>
        <v>6104</v>
      </c>
      <c r="C191" t="s">
        <v>797</v>
      </c>
      <c r="D191" s="1">
        <v>2073</v>
      </c>
      <c r="E191" t="s">
        <v>829</v>
      </c>
    </row>
    <row r="192" spans="1:5" x14ac:dyDescent="0.25">
      <c r="A192">
        <v>183</v>
      </c>
      <c r="B192" t="str">
        <f>"1442"</f>
        <v>1442</v>
      </c>
      <c r="C192" t="s">
        <v>798</v>
      </c>
      <c r="D192" s="1">
        <v>2028</v>
      </c>
      <c r="E192" t="s">
        <v>828</v>
      </c>
    </row>
    <row r="193" spans="1:5" x14ac:dyDescent="0.25">
      <c r="A193">
        <v>108</v>
      </c>
      <c r="B193" t="str">
        <f>"8111"</f>
        <v>8111</v>
      </c>
      <c r="C193" t="s">
        <v>799</v>
      </c>
      <c r="D193" s="1">
        <v>1931</v>
      </c>
      <c r="E193" t="s">
        <v>829</v>
      </c>
    </row>
    <row r="194" spans="1:5" x14ac:dyDescent="0.25">
      <c r="A194">
        <v>173</v>
      </c>
      <c r="B194" t="str">
        <f>"3607"</f>
        <v>3607</v>
      </c>
      <c r="C194" t="s">
        <v>800</v>
      </c>
      <c r="D194" s="1">
        <v>1920</v>
      </c>
      <c r="E194" t="s">
        <v>828</v>
      </c>
    </row>
    <row r="195" spans="1:5" x14ac:dyDescent="0.25">
      <c r="A195">
        <v>150</v>
      </c>
      <c r="B195" t="str">
        <f>"2425"</f>
        <v>2425</v>
      </c>
      <c r="C195" t="s">
        <v>801</v>
      </c>
      <c r="D195" s="1">
        <v>1886</v>
      </c>
      <c r="E195" t="s">
        <v>828</v>
      </c>
    </row>
    <row r="196" spans="1:5" x14ac:dyDescent="0.25">
      <c r="A196">
        <v>162</v>
      </c>
      <c r="B196" t="str">
        <f>"3303"</f>
        <v>3303</v>
      </c>
      <c r="C196" t="s">
        <v>22</v>
      </c>
      <c r="D196" s="1">
        <v>1859</v>
      </c>
      <c r="E196" t="s">
        <v>829</v>
      </c>
    </row>
    <row r="197" spans="1:5" x14ac:dyDescent="0.25">
      <c r="A197">
        <v>117</v>
      </c>
      <c r="B197" t="str">
        <f>"2243"</f>
        <v>2243</v>
      </c>
      <c r="C197" t="s">
        <v>802</v>
      </c>
      <c r="D197" s="1">
        <v>1839</v>
      </c>
      <c r="E197" t="s">
        <v>828</v>
      </c>
    </row>
    <row r="198" spans="1:5" x14ac:dyDescent="0.25">
      <c r="A198">
        <v>34</v>
      </c>
      <c r="B198" t="str">
        <f>"4977"</f>
        <v>4977</v>
      </c>
      <c r="C198" t="s">
        <v>803</v>
      </c>
      <c r="D198" s="1">
        <v>1808</v>
      </c>
      <c r="E198" t="s">
        <v>828</v>
      </c>
    </row>
    <row r="199" spans="1:5" x14ac:dyDescent="0.25">
      <c r="A199">
        <v>171</v>
      </c>
      <c r="B199" t="str">
        <f>"1309"</f>
        <v>1309</v>
      </c>
      <c r="C199" t="s">
        <v>804</v>
      </c>
      <c r="D199" s="1">
        <v>1695</v>
      </c>
      <c r="E199" t="s">
        <v>828</v>
      </c>
    </row>
    <row r="200" spans="1:5" x14ac:dyDescent="0.25">
      <c r="A200">
        <v>79</v>
      </c>
      <c r="B200" t="str">
        <f>"6698"</f>
        <v>6698</v>
      </c>
      <c r="C200" t="s">
        <v>805</v>
      </c>
      <c r="D200" s="1">
        <v>1685</v>
      </c>
      <c r="E200" t="s">
        <v>828</v>
      </c>
    </row>
    <row r="201" spans="1:5" x14ac:dyDescent="0.25">
      <c r="A201">
        <v>279</v>
      </c>
      <c r="B201" t="str">
        <f>"6133"</f>
        <v>6133</v>
      </c>
      <c r="C201" t="s">
        <v>806</v>
      </c>
      <c r="D201" s="1">
        <v>1656</v>
      </c>
      <c r="E201" t="s">
        <v>828</v>
      </c>
    </row>
    <row r="202" spans="1:5" x14ac:dyDescent="0.25">
      <c r="A202">
        <v>130</v>
      </c>
      <c r="B202" t="str">
        <f>"8249"</f>
        <v>8249</v>
      </c>
      <c r="C202" t="s">
        <v>807</v>
      </c>
      <c r="D202" s="1">
        <v>1646</v>
      </c>
      <c r="E202" t="s">
        <v>828</v>
      </c>
    </row>
    <row r="203" spans="1:5" x14ac:dyDescent="0.25">
      <c r="A203">
        <v>271</v>
      </c>
      <c r="B203" t="str">
        <f>"6438"</f>
        <v>6438</v>
      </c>
      <c r="C203" t="s">
        <v>808</v>
      </c>
      <c r="D203" s="1">
        <v>1638</v>
      </c>
      <c r="E203" t="s">
        <v>828</v>
      </c>
    </row>
    <row r="204" spans="1:5" x14ac:dyDescent="0.25">
      <c r="A204">
        <v>193</v>
      </c>
      <c r="B204" t="str">
        <f>"4563"</f>
        <v>4563</v>
      </c>
      <c r="C204" t="s">
        <v>33</v>
      </c>
      <c r="D204" s="1">
        <v>1620</v>
      </c>
      <c r="E204" t="s">
        <v>829</v>
      </c>
    </row>
    <row r="205" spans="1:5" x14ac:dyDescent="0.25">
      <c r="A205">
        <v>49</v>
      </c>
      <c r="B205" t="str">
        <f>"2426"</f>
        <v>2426</v>
      </c>
      <c r="C205" t="s">
        <v>809</v>
      </c>
      <c r="D205" s="1">
        <v>1580</v>
      </c>
      <c r="E205" t="s">
        <v>828</v>
      </c>
    </row>
    <row r="206" spans="1:5" x14ac:dyDescent="0.25">
      <c r="A206">
        <v>44</v>
      </c>
      <c r="B206" t="str">
        <f>"6609"</f>
        <v>6609</v>
      </c>
      <c r="C206" t="s">
        <v>810</v>
      </c>
      <c r="D206" s="1">
        <v>1507</v>
      </c>
      <c r="E206" t="s">
        <v>829</v>
      </c>
    </row>
    <row r="207" spans="1:5" x14ac:dyDescent="0.25">
      <c r="A207">
        <v>253</v>
      </c>
      <c r="B207" t="str">
        <f>"1710"</f>
        <v>1710</v>
      </c>
      <c r="C207" t="s">
        <v>811</v>
      </c>
      <c r="D207" s="1">
        <v>1450</v>
      </c>
      <c r="E207" t="s">
        <v>828</v>
      </c>
    </row>
    <row r="208" spans="1:5" x14ac:dyDescent="0.25">
      <c r="A208">
        <v>51</v>
      </c>
      <c r="B208" t="str">
        <f>"4903"</f>
        <v>4903</v>
      </c>
      <c r="C208" t="s">
        <v>812</v>
      </c>
      <c r="D208" s="1">
        <v>1437</v>
      </c>
      <c r="E208" t="s">
        <v>829</v>
      </c>
    </row>
    <row r="209" spans="1:5" x14ac:dyDescent="0.25">
      <c r="A209">
        <v>72</v>
      </c>
      <c r="B209" t="str">
        <f>"2070"</f>
        <v>2070</v>
      </c>
      <c r="C209" t="s">
        <v>39</v>
      </c>
      <c r="D209" s="1">
        <v>1416</v>
      </c>
      <c r="E209" t="s">
        <v>829</v>
      </c>
    </row>
    <row r="210" spans="1:5" x14ac:dyDescent="0.25">
      <c r="A210">
        <v>217</v>
      </c>
      <c r="B210" t="str">
        <f>"3230"</f>
        <v>3230</v>
      </c>
      <c r="C210" t="s">
        <v>813</v>
      </c>
      <c r="D210" s="1">
        <v>1382</v>
      </c>
      <c r="E210" t="s">
        <v>829</v>
      </c>
    </row>
    <row r="211" spans="1:5" x14ac:dyDescent="0.25">
      <c r="A211">
        <v>23</v>
      </c>
      <c r="B211" t="str">
        <f>"3550"</f>
        <v>3550</v>
      </c>
      <c r="C211" t="s">
        <v>814</v>
      </c>
      <c r="D211" s="1">
        <v>1324</v>
      </c>
      <c r="E211" t="s">
        <v>828</v>
      </c>
    </row>
    <row r="212" spans="1:5" x14ac:dyDescent="0.25">
      <c r="A212">
        <v>213</v>
      </c>
      <c r="B212" t="str">
        <f>"4576"</f>
        <v>4576</v>
      </c>
      <c r="C212" t="s">
        <v>815</v>
      </c>
      <c r="D212" s="1">
        <v>1254</v>
      </c>
      <c r="E212" t="s">
        <v>828</v>
      </c>
    </row>
    <row r="213" spans="1:5" x14ac:dyDescent="0.25">
      <c r="A213">
        <v>250</v>
      </c>
      <c r="B213" t="str">
        <f>"6405"</f>
        <v>6405</v>
      </c>
      <c r="C213" t="s">
        <v>816</v>
      </c>
      <c r="D213" s="1">
        <v>1145</v>
      </c>
      <c r="E213" t="s">
        <v>828</v>
      </c>
    </row>
    <row r="214" spans="1:5" x14ac:dyDescent="0.25">
      <c r="A214">
        <v>275</v>
      </c>
      <c r="B214" t="str">
        <f>"3290"</f>
        <v>3290</v>
      </c>
      <c r="C214" t="s">
        <v>51</v>
      </c>
      <c r="D214" s="1">
        <v>1046</v>
      </c>
      <c r="E214" t="s">
        <v>829</v>
      </c>
    </row>
    <row r="215" spans="1:5" x14ac:dyDescent="0.25">
      <c r="A215">
        <v>289</v>
      </c>
      <c r="B215" t="str">
        <f>"6151"</f>
        <v>6151</v>
      </c>
      <c r="C215" t="s">
        <v>817</v>
      </c>
      <c r="D215">
        <v>978</v>
      </c>
      <c r="E215" t="s">
        <v>829</v>
      </c>
    </row>
    <row r="216" spans="1:5" x14ac:dyDescent="0.25">
      <c r="A216">
        <v>94</v>
      </c>
      <c r="B216" t="str">
        <f>"4542"</f>
        <v>4542</v>
      </c>
      <c r="C216" t="s">
        <v>56</v>
      </c>
      <c r="D216">
        <v>965</v>
      </c>
      <c r="E216" t="s">
        <v>829</v>
      </c>
    </row>
    <row r="217" spans="1:5" x14ac:dyDescent="0.25">
      <c r="A217">
        <v>225</v>
      </c>
      <c r="B217" t="str">
        <f>"9935"</f>
        <v>9935</v>
      </c>
      <c r="C217" t="s">
        <v>818</v>
      </c>
      <c r="D217">
        <v>892</v>
      </c>
      <c r="E217" t="s">
        <v>828</v>
      </c>
    </row>
    <row r="218" spans="1:5" x14ac:dyDescent="0.25">
      <c r="A218">
        <v>229</v>
      </c>
      <c r="B218" t="str">
        <f>"5460"</f>
        <v>5460</v>
      </c>
      <c r="C218" t="s">
        <v>819</v>
      </c>
      <c r="D218">
        <v>807</v>
      </c>
      <c r="E218" t="s">
        <v>829</v>
      </c>
    </row>
    <row r="219" spans="1:5" x14ac:dyDescent="0.25">
      <c r="A219">
        <v>278</v>
      </c>
      <c r="B219" t="str">
        <f>"4974"</f>
        <v>4974</v>
      </c>
      <c r="C219" t="s">
        <v>222</v>
      </c>
      <c r="D219">
        <v>751</v>
      </c>
      <c r="E219" t="s">
        <v>829</v>
      </c>
    </row>
    <row r="220" spans="1:5" x14ac:dyDescent="0.25">
      <c r="A220">
        <v>71</v>
      </c>
      <c r="B220" t="str">
        <f>"2477"</f>
        <v>2477</v>
      </c>
      <c r="C220" t="s">
        <v>820</v>
      </c>
      <c r="D220">
        <v>714</v>
      </c>
      <c r="E220" t="s">
        <v>828</v>
      </c>
    </row>
    <row r="221" spans="1:5" x14ac:dyDescent="0.25">
      <c r="A221">
        <v>295</v>
      </c>
      <c r="B221" t="str">
        <f>"2233"</f>
        <v>2233</v>
      </c>
      <c r="C221" t="s">
        <v>821</v>
      </c>
      <c r="D221">
        <v>602</v>
      </c>
      <c r="E221" t="s">
        <v>828</v>
      </c>
    </row>
    <row r="222" spans="1:5" x14ac:dyDescent="0.25">
      <c r="A222">
        <v>237</v>
      </c>
      <c r="B222" t="str">
        <f>"6830"</f>
        <v>6830</v>
      </c>
      <c r="C222" t="s">
        <v>822</v>
      </c>
      <c r="D222">
        <v>577</v>
      </c>
      <c r="E222" t="s">
        <v>828</v>
      </c>
    </row>
    <row r="223" spans="1:5" x14ac:dyDescent="0.25">
      <c r="A223">
        <v>282</v>
      </c>
      <c r="B223" t="str">
        <f>"2250"</f>
        <v>2250</v>
      </c>
      <c r="C223" t="s">
        <v>823</v>
      </c>
      <c r="D223">
        <v>480</v>
      </c>
      <c r="E223" t="s">
        <v>828</v>
      </c>
    </row>
    <row r="224" spans="1:5" x14ac:dyDescent="0.25">
      <c r="A224">
        <v>218</v>
      </c>
      <c r="B224" t="str">
        <f>"6517"</f>
        <v>6517</v>
      </c>
      <c r="C224" t="s">
        <v>202</v>
      </c>
      <c r="D224">
        <v>385</v>
      </c>
      <c r="E224" t="s">
        <v>829</v>
      </c>
    </row>
    <row r="225" spans="1:5" x14ac:dyDescent="0.25">
      <c r="A225">
        <v>80</v>
      </c>
      <c r="B225" t="str">
        <f>"2033"</f>
        <v>2033</v>
      </c>
      <c r="C225" t="s">
        <v>824</v>
      </c>
      <c r="D225">
        <v>374</v>
      </c>
      <c r="E225" t="s">
        <v>828</v>
      </c>
    </row>
    <row r="226" spans="1:5" x14ac:dyDescent="0.25">
      <c r="A226">
        <v>268</v>
      </c>
      <c r="B226" t="str">
        <f>"8431"</f>
        <v>8431</v>
      </c>
      <c r="C226" t="s">
        <v>266</v>
      </c>
      <c r="D226">
        <v>272</v>
      </c>
      <c r="E226" t="s">
        <v>829</v>
      </c>
    </row>
    <row r="227" spans="1:5" x14ac:dyDescent="0.25">
      <c r="A227">
        <v>100</v>
      </c>
      <c r="B227" t="str">
        <f>"5438"</f>
        <v>5438</v>
      </c>
      <c r="C227" t="s">
        <v>398</v>
      </c>
      <c r="D227">
        <v>265</v>
      </c>
      <c r="E227" t="s">
        <v>829</v>
      </c>
    </row>
    <row r="228" spans="1:5" x14ac:dyDescent="0.25">
      <c r="A228">
        <v>230</v>
      </c>
      <c r="B228" t="str">
        <f>"8074"</f>
        <v>8074</v>
      </c>
      <c r="C228" t="s">
        <v>323</v>
      </c>
      <c r="D228">
        <v>219</v>
      </c>
      <c r="E228" t="s">
        <v>829</v>
      </c>
    </row>
    <row r="229" spans="1:5" x14ac:dyDescent="0.25">
      <c r="A229">
        <v>148</v>
      </c>
      <c r="B229" t="str">
        <f>"8032"</f>
        <v>8032</v>
      </c>
      <c r="C229" t="s">
        <v>825</v>
      </c>
      <c r="D229">
        <v>184</v>
      </c>
      <c r="E229" t="s">
        <v>829</v>
      </c>
    </row>
    <row r="230" spans="1:5" x14ac:dyDescent="0.25">
      <c r="A230">
        <v>229</v>
      </c>
      <c r="B230">
        <v>4549</v>
      </c>
      <c r="C230" t="s">
        <v>23</v>
      </c>
    </row>
    <row r="231" spans="1:5" x14ac:dyDescent="0.25">
      <c r="A231">
        <v>230</v>
      </c>
      <c r="B231">
        <v>6841</v>
      </c>
      <c r="C231" t="s">
        <v>24</v>
      </c>
    </row>
    <row r="232" spans="1:5" x14ac:dyDescent="0.25">
      <c r="A232">
        <v>231</v>
      </c>
      <c r="B232">
        <v>6877</v>
      </c>
      <c r="C232" t="s">
        <v>25</v>
      </c>
    </row>
    <row r="233" spans="1:5" x14ac:dyDescent="0.25">
      <c r="A233">
        <v>232</v>
      </c>
      <c r="B233">
        <v>4707</v>
      </c>
      <c r="C233" t="s">
        <v>26</v>
      </c>
    </row>
    <row r="234" spans="1:5" x14ac:dyDescent="0.25">
      <c r="A234">
        <v>233</v>
      </c>
      <c r="B234">
        <v>6150</v>
      </c>
      <c r="C234" t="s">
        <v>27</v>
      </c>
    </row>
    <row r="235" spans="1:5" x14ac:dyDescent="0.25">
      <c r="A235">
        <v>234</v>
      </c>
      <c r="B235">
        <v>5210</v>
      </c>
      <c r="C235" t="s">
        <v>28</v>
      </c>
    </row>
    <row r="236" spans="1:5" x14ac:dyDescent="0.25">
      <c r="A236">
        <v>235</v>
      </c>
      <c r="B236">
        <v>3666</v>
      </c>
      <c r="C236" t="s">
        <v>29</v>
      </c>
    </row>
    <row r="237" spans="1:5" x14ac:dyDescent="0.25">
      <c r="A237">
        <v>236</v>
      </c>
      <c r="B237">
        <v>8927</v>
      </c>
      <c r="C237" t="s">
        <v>30</v>
      </c>
    </row>
    <row r="238" spans="1:5" x14ac:dyDescent="0.25">
      <c r="A238">
        <v>237</v>
      </c>
      <c r="B238">
        <v>3551</v>
      </c>
      <c r="C238" t="s">
        <v>31</v>
      </c>
    </row>
    <row r="239" spans="1:5" x14ac:dyDescent="0.25">
      <c r="A239">
        <v>238</v>
      </c>
      <c r="B239">
        <v>4953</v>
      </c>
      <c r="C239" t="s">
        <v>32</v>
      </c>
    </row>
    <row r="240" spans="1:5" x14ac:dyDescent="0.25">
      <c r="A240">
        <v>239</v>
      </c>
      <c r="B240">
        <v>4563</v>
      </c>
      <c r="C240" t="s">
        <v>33</v>
      </c>
    </row>
    <row r="241" spans="1:3" x14ac:dyDescent="0.25">
      <c r="A241">
        <v>240</v>
      </c>
      <c r="B241">
        <v>4729</v>
      </c>
      <c r="C241" t="s">
        <v>34</v>
      </c>
    </row>
    <row r="242" spans="1:3" x14ac:dyDescent="0.25">
      <c r="A242">
        <v>241</v>
      </c>
      <c r="B242">
        <v>4503</v>
      </c>
      <c r="C242" t="s">
        <v>35</v>
      </c>
    </row>
    <row r="243" spans="1:3" x14ac:dyDescent="0.25">
      <c r="A243">
        <v>242</v>
      </c>
      <c r="B243">
        <v>6234</v>
      </c>
      <c r="C243" t="s">
        <v>36</v>
      </c>
    </row>
    <row r="244" spans="1:3" x14ac:dyDescent="0.25">
      <c r="A244">
        <v>243</v>
      </c>
      <c r="B244">
        <v>3693</v>
      </c>
      <c r="C244" t="s">
        <v>37</v>
      </c>
    </row>
    <row r="245" spans="1:3" x14ac:dyDescent="0.25">
      <c r="A245">
        <v>244</v>
      </c>
      <c r="B245">
        <v>2230</v>
      </c>
      <c r="C245" t="s">
        <v>38</v>
      </c>
    </row>
    <row r="246" spans="1:3" x14ac:dyDescent="0.25">
      <c r="A246">
        <v>245</v>
      </c>
      <c r="B246">
        <v>2070</v>
      </c>
      <c r="C246" t="s">
        <v>39</v>
      </c>
    </row>
    <row r="247" spans="1:3" x14ac:dyDescent="0.25">
      <c r="A247">
        <v>246</v>
      </c>
      <c r="B247">
        <v>8255</v>
      </c>
      <c r="C247" t="s">
        <v>40</v>
      </c>
    </row>
    <row r="248" spans="1:3" x14ac:dyDescent="0.25">
      <c r="A248">
        <v>247</v>
      </c>
      <c r="B248">
        <v>1591</v>
      </c>
      <c r="C248" t="s">
        <v>41</v>
      </c>
    </row>
    <row r="249" spans="1:3" x14ac:dyDescent="0.25">
      <c r="A249">
        <v>248</v>
      </c>
      <c r="B249">
        <v>6509</v>
      </c>
      <c r="C249" t="s">
        <v>42</v>
      </c>
    </row>
    <row r="250" spans="1:3" x14ac:dyDescent="0.25">
      <c r="A250">
        <v>249</v>
      </c>
      <c r="B250">
        <v>3522</v>
      </c>
      <c r="C250" t="s">
        <v>43</v>
      </c>
    </row>
    <row r="251" spans="1:3" x14ac:dyDescent="0.25">
      <c r="A251">
        <v>250</v>
      </c>
      <c r="B251">
        <v>4939</v>
      </c>
      <c r="C251" t="s">
        <v>44</v>
      </c>
    </row>
    <row r="252" spans="1:3" x14ac:dyDescent="0.25">
      <c r="A252">
        <v>251</v>
      </c>
      <c r="B252">
        <v>3178</v>
      </c>
      <c r="C252" t="s">
        <v>45</v>
      </c>
    </row>
    <row r="253" spans="1:3" x14ac:dyDescent="0.25">
      <c r="A253">
        <v>252</v>
      </c>
      <c r="B253">
        <v>5263</v>
      </c>
      <c r="C253" t="s">
        <v>46</v>
      </c>
    </row>
    <row r="254" spans="1:3" x14ac:dyDescent="0.25">
      <c r="A254">
        <v>253</v>
      </c>
      <c r="B254">
        <v>6788</v>
      </c>
      <c r="C254" t="s">
        <v>47</v>
      </c>
    </row>
    <row r="255" spans="1:3" x14ac:dyDescent="0.25">
      <c r="A255">
        <v>254</v>
      </c>
      <c r="B255">
        <v>8930</v>
      </c>
      <c r="C255" t="s">
        <v>48</v>
      </c>
    </row>
    <row r="256" spans="1:3" x14ac:dyDescent="0.25">
      <c r="A256">
        <v>255</v>
      </c>
      <c r="B256">
        <v>5490</v>
      </c>
      <c r="C256" t="s">
        <v>49</v>
      </c>
    </row>
    <row r="257" spans="1:3" x14ac:dyDescent="0.25">
      <c r="A257">
        <v>256</v>
      </c>
      <c r="B257">
        <v>3221</v>
      </c>
      <c r="C257" t="s">
        <v>50</v>
      </c>
    </row>
    <row r="258" spans="1:3" x14ac:dyDescent="0.25">
      <c r="A258">
        <v>257</v>
      </c>
      <c r="B258">
        <v>3290</v>
      </c>
      <c r="C258" t="s">
        <v>51</v>
      </c>
    </row>
    <row r="259" spans="1:3" x14ac:dyDescent="0.25">
      <c r="A259">
        <v>258</v>
      </c>
      <c r="B259">
        <v>2061</v>
      </c>
      <c r="C259" t="s">
        <v>52</v>
      </c>
    </row>
    <row r="260" spans="1:3" x14ac:dyDescent="0.25">
      <c r="A260">
        <v>259</v>
      </c>
      <c r="B260">
        <v>8383</v>
      </c>
      <c r="C260" t="s">
        <v>53</v>
      </c>
    </row>
    <row r="261" spans="1:3" x14ac:dyDescent="0.25">
      <c r="A261">
        <v>260</v>
      </c>
      <c r="B261">
        <v>6151</v>
      </c>
      <c r="C261" t="s">
        <v>54</v>
      </c>
    </row>
    <row r="262" spans="1:3" x14ac:dyDescent="0.25">
      <c r="A262">
        <v>261</v>
      </c>
      <c r="B262">
        <v>3624</v>
      </c>
      <c r="C262" t="s">
        <v>55</v>
      </c>
    </row>
    <row r="263" spans="1:3" x14ac:dyDescent="0.25">
      <c r="A263">
        <v>262</v>
      </c>
      <c r="B263">
        <v>4542</v>
      </c>
      <c r="C263" t="s">
        <v>56</v>
      </c>
    </row>
    <row r="264" spans="1:3" x14ac:dyDescent="0.25">
      <c r="A264">
        <v>263</v>
      </c>
      <c r="B264">
        <v>8155</v>
      </c>
      <c r="C264" t="s">
        <v>57</v>
      </c>
    </row>
    <row r="265" spans="1:3" x14ac:dyDescent="0.25">
      <c r="A265">
        <v>264</v>
      </c>
      <c r="B265">
        <v>3438</v>
      </c>
      <c r="C265" t="s">
        <v>58</v>
      </c>
    </row>
    <row r="266" spans="1:3" x14ac:dyDescent="0.25">
      <c r="A266">
        <v>265</v>
      </c>
      <c r="B266">
        <v>3141</v>
      </c>
      <c r="C266" t="s">
        <v>59</v>
      </c>
    </row>
    <row r="267" spans="1:3" x14ac:dyDescent="0.25">
      <c r="A267">
        <v>266</v>
      </c>
      <c r="B267">
        <v>6264</v>
      </c>
      <c r="C267" t="s">
        <v>60</v>
      </c>
    </row>
    <row r="268" spans="1:3" x14ac:dyDescent="0.25">
      <c r="A268">
        <v>267</v>
      </c>
      <c r="B268">
        <v>6589</v>
      </c>
      <c r="C268" t="s">
        <v>61</v>
      </c>
    </row>
    <row r="269" spans="1:3" x14ac:dyDescent="0.25">
      <c r="A269">
        <v>268</v>
      </c>
      <c r="B269">
        <v>6170</v>
      </c>
      <c r="C269" t="s">
        <v>62</v>
      </c>
    </row>
    <row r="270" spans="1:3" x14ac:dyDescent="0.25">
      <c r="A270">
        <v>269</v>
      </c>
      <c r="B270">
        <v>3083</v>
      </c>
      <c r="C270" t="s">
        <v>63</v>
      </c>
    </row>
    <row r="271" spans="1:3" x14ac:dyDescent="0.25">
      <c r="A271">
        <v>270</v>
      </c>
      <c r="B271">
        <v>3066</v>
      </c>
      <c r="C271" t="s">
        <v>64</v>
      </c>
    </row>
    <row r="272" spans="1:3" x14ac:dyDescent="0.25">
      <c r="A272">
        <v>271</v>
      </c>
      <c r="B272">
        <v>2745</v>
      </c>
      <c r="C272" t="s">
        <v>65</v>
      </c>
    </row>
    <row r="273" spans="1:3" x14ac:dyDescent="0.25">
      <c r="A273">
        <v>272</v>
      </c>
      <c r="B273">
        <v>5530</v>
      </c>
      <c r="C273" t="s">
        <v>66</v>
      </c>
    </row>
    <row r="274" spans="1:3" x14ac:dyDescent="0.25">
      <c r="A274">
        <v>273</v>
      </c>
      <c r="B274">
        <v>6129</v>
      </c>
      <c r="C274" t="s">
        <v>67</v>
      </c>
    </row>
    <row r="275" spans="1:3" x14ac:dyDescent="0.25">
      <c r="A275">
        <v>274</v>
      </c>
      <c r="B275">
        <v>5511</v>
      </c>
      <c r="C275" t="s">
        <v>68</v>
      </c>
    </row>
    <row r="276" spans="1:3" x14ac:dyDescent="0.25">
      <c r="A276">
        <v>275</v>
      </c>
      <c r="B276">
        <v>4160</v>
      </c>
      <c r="C276" t="s">
        <v>69</v>
      </c>
    </row>
    <row r="277" spans="1:3" x14ac:dyDescent="0.25">
      <c r="A277">
        <v>276</v>
      </c>
      <c r="B277">
        <v>8048</v>
      </c>
      <c r="C277" t="s">
        <v>70</v>
      </c>
    </row>
    <row r="278" spans="1:3" x14ac:dyDescent="0.25">
      <c r="A278">
        <v>277</v>
      </c>
      <c r="B278">
        <v>6664</v>
      </c>
      <c r="C278" t="s">
        <v>71</v>
      </c>
    </row>
    <row r="279" spans="1:3" x14ac:dyDescent="0.25">
      <c r="A279">
        <v>278</v>
      </c>
      <c r="B279">
        <v>3357</v>
      </c>
      <c r="C279" t="s">
        <v>72</v>
      </c>
    </row>
    <row r="280" spans="1:3" x14ac:dyDescent="0.25">
      <c r="A280">
        <v>279</v>
      </c>
      <c r="B280">
        <v>3169</v>
      </c>
      <c r="C280" t="s">
        <v>73</v>
      </c>
    </row>
    <row r="281" spans="1:3" x14ac:dyDescent="0.25">
      <c r="A281">
        <v>280</v>
      </c>
      <c r="B281">
        <v>6532</v>
      </c>
      <c r="C281" t="s">
        <v>74</v>
      </c>
    </row>
    <row r="282" spans="1:3" x14ac:dyDescent="0.25">
      <c r="A282">
        <v>281</v>
      </c>
      <c r="B282">
        <v>3675</v>
      </c>
      <c r="C282" t="s">
        <v>75</v>
      </c>
    </row>
    <row r="283" spans="1:3" x14ac:dyDescent="0.25">
      <c r="A283">
        <v>282</v>
      </c>
      <c r="B283">
        <v>6679</v>
      </c>
      <c r="C283" t="s">
        <v>76</v>
      </c>
    </row>
    <row r="284" spans="1:3" x14ac:dyDescent="0.25">
      <c r="A284">
        <v>283</v>
      </c>
      <c r="B284">
        <v>5465</v>
      </c>
      <c r="C284" t="s">
        <v>77</v>
      </c>
    </row>
    <row r="285" spans="1:3" x14ac:dyDescent="0.25">
      <c r="A285">
        <v>284</v>
      </c>
      <c r="B285">
        <v>6593</v>
      </c>
      <c r="C285" t="s">
        <v>78</v>
      </c>
    </row>
    <row r="286" spans="1:3" x14ac:dyDescent="0.25">
      <c r="A286">
        <v>285</v>
      </c>
      <c r="B286">
        <v>5236</v>
      </c>
      <c r="C286" t="s">
        <v>79</v>
      </c>
    </row>
    <row r="287" spans="1:3" x14ac:dyDescent="0.25">
      <c r="A287">
        <v>286</v>
      </c>
      <c r="B287">
        <v>3213</v>
      </c>
      <c r="C287" t="s">
        <v>80</v>
      </c>
    </row>
    <row r="288" spans="1:3" x14ac:dyDescent="0.25">
      <c r="A288">
        <v>287</v>
      </c>
      <c r="B288">
        <v>5475</v>
      </c>
      <c r="C288" t="s">
        <v>81</v>
      </c>
    </row>
    <row r="289" spans="1:3" x14ac:dyDescent="0.25">
      <c r="A289">
        <v>288</v>
      </c>
      <c r="B289">
        <v>8099</v>
      </c>
      <c r="C289" t="s">
        <v>82</v>
      </c>
    </row>
    <row r="290" spans="1:3" x14ac:dyDescent="0.25">
      <c r="A290">
        <v>289</v>
      </c>
      <c r="B290">
        <v>8068</v>
      </c>
      <c r="C290" t="s">
        <v>83</v>
      </c>
    </row>
    <row r="291" spans="1:3" x14ac:dyDescent="0.25">
      <c r="A291">
        <v>290</v>
      </c>
      <c r="B291">
        <v>3512</v>
      </c>
      <c r="C291" t="s">
        <v>84</v>
      </c>
    </row>
    <row r="292" spans="1:3" x14ac:dyDescent="0.25">
      <c r="A292">
        <v>291</v>
      </c>
      <c r="B292">
        <v>6829</v>
      </c>
      <c r="C292" t="s">
        <v>85</v>
      </c>
    </row>
    <row r="293" spans="1:3" x14ac:dyDescent="0.25">
      <c r="A293">
        <v>292</v>
      </c>
      <c r="B293">
        <v>5289</v>
      </c>
      <c r="C293" t="s">
        <v>86</v>
      </c>
    </row>
    <row r="294" spans="1:3" x14ac:dyDescent="0.25">
      <c r="A294">
        <v>293</v>
      </c>
      <c r="B294">
        <v>6248</v>
      </c>
      <c r="C294" t="s">
        <v>87</v>
      </c>
    </row>
    <row r="295" spans="1:3" x14ac:dyDescent="0.25">
      <c r="A295">
        <v>294</v>
      </c>
      <c r="B295">
        <v>2736</v>
      </c>
      <c r="C295" t="s">
        <v>88</v>
      </c>
    </row>
    <row r="296" spans="1:3" x14ac:dyDescent="0.25">
      <c r="A296">
        <v>295</v>
      </c>
      <c r="B296">
        <v>5302</v>
      </c>
      <c r="C296" t="s">
        <v>89</v>
      </c>
    </row>
    <row r="297" spans="1:3" x14ac:dyDescent="0.25">
      <c r="A297">
        <v>296</v>
      </c>
      <c r="B297">
        <v>8044</v>
      </c>
      <c r="C297" t="s">
        <v>90</v>
      </c>
    </row>
    <row r="298" spans="1:3" x14ac:dyDescent="0.25">
      <c r="A298">
        <v>297</v>
      </c>
      <c r="B298">
        <v>5014</v>
      </c>
      <c r="C298" t="s">
        <v>91</v>
      </c>
    </row>
    <row r="299" spans="1:3" x14ac:dyDescent="0.25">
      <c r="A299">
        <v>298</v>
      </c>
      <c r="B299">
        <v>5493</v>
      </c>
      <c r="C299" t="s">
        <v>92</v>
      </c>
    </row>
    <row r="300" spans="1:3" x14ac:dyDescent="0.25">
      <c r="A300">
        <v>299</v>
      </c>
      <c r="B300">
        <v>4760</v>
      </c>
      <c r="C300" t="s">
        <v>93</v>
      </c>
    </row>
    <row r="301" spans="1:3" x14ac:dyDescent="0.25">
      <c r="A301">
        <v>300</v>
      </c>
      <c r="B301">
        <v>6208</v>
      </c>
      <c r="C301" t="s">
        <v>94</v>
      </c>
    </row>
    <row r="302" spans="1:3" x14ac:dyDescent="0.25">
      <c r="A302">
        <v>301</v>
      </c>
      <c r="B302">
        <v>5355</v>
      </c>
      <c r="C302" t="s">
        <v>95</v>
      </c>
    </row>
    <row r="303" spans="1:3" x14ac:dyDescent="0.25">
      <c r="A303">
        <v>302</v>
      </c>
      <c r="B303">
        <v>3162</v>
      </c>
      <c r="C303" t="s">
        <v>96</v>
      </c>
    </row>
    <row r="304" spans="1:3" x14ac:dyDescent="0.25">
      <c r="A304">
        <v>303</v>
      </c>
      <c r="B304">
        <v>3268</v>
      </c>
      <c r="C304" t="s">
        <v>97</v>
      </c>
    </row>
    <row r="305" spans="1:3" x14ac:dyDescent="0.25">
      <c r="A305">
        <v>304</v>
      </c>
      <c r="B305">
        <v>5536</v>
      </c>
      <c r="C305" t="s">
        <v>98</v>
      </c>
    </row>
    <row r="306" spans="1:3" x14ac:dyDescent="0.25">
      <c r="A306">
        <v>305</v>
      </c>
      <c r="B306">
        <v>6712</v>
      </c>
      <c r="C306" t="s">
        <v>99</v>
      </c>
    </row>
    <row r="307" spans="1:3" x14ac:dyDescent="0.25">
      <c r="A307">
        <v>306</v>
      </c>
      <c r="B307">
        <v>5478</v>
      </c>
      <c r="C307" t="s">
        <v>100</v>
      </c>
    </row>
    <row r="308" spans="1:3" x14ac:dyDescent="0.25">
      <c r="A308">
        <v>307</v>
      </c>
      <c r="B308">
        <v>4933</v>
      </c>
      <c r="C308" t="s">
        <v>101</v>
      </c>
    </row>
    <row r="309" spans="1:3" x14ac:dyDescent="0.25">
      <c r="A309">
        <v>308</v>
      </c>
      <c r="B309">
        <v>6785</v>
      </c>
      <c r="C309" t="s">
        <v>102</v>
      </c>
    </row>
    <row r="310" spans="1:3" x14ac:dyDescent="0.25">
      <c r="A310">
        <v>309</v>
      </c>
      <c r="B310">
        <v>6640</v>
      </c>
      <c r="C310" t="s">
        <v>103</v>
      </c>
    </row>
    <row r="311" spans="1:3" x14ac:dyDescent="0.25">
      <c r="A311">
        <v>310</v>
      </c>
      <c r="B311">
        <v>6204</v>
      </c>
      <c r="C311" t="s">
        <v>104</v>
      </c>
    </row>
    <row r="312" spans="1:3" x14ac:dyDescent="0.25">
      <c r="A312">
        <v>311</v>
      </c>
      <c r="B312">
        <v>8091</v>
      </c>
      <c r="C312" t="s">
        <v>105</v>
      </c>
    </row>
    <row r="313" spans="1:3" x14ac:dyDescent="0.25">
      <c r="A313">
        <v>312</v>
      </c>
      <c r="B313">
        <v>3489</v>
      </c>
      <c r="C313" t="s">
        <v>106</v>
      </c>
    </row>
    <row r="314" spans="1:3" x14ac:dyDescent="0.25">
      <c r="A314">
        <v>313</v>
      </c>
      <c r="B314">
        <v>6683</v>
      </c>
      <c r="C314" t="s">
        <v>107</v>
      </c>
    </row>
    <row r="315" spans="1:3" x14ac:dyDescent="0.25">
      <c r="A315">
        <v>314</v>
      </c>
      <c r="B315">
        <v>5529</v>
      </c>
      <c r="C315" t="s">
        <v>108</v>
      </c>
    </row>
    <row r="316" spans="1:3" x14ac:dyDescent="0.25">
      <c r="A316">
        <v>315</v>
      </c>
      <c r="B316">
        <v>8107</v>
      </c>
      <c r="C316" t="s">
        <v>109</v>
      </c>
    </row>
    <row r="317" spans="1:3" x14ac:dyDescent="0.25">
      <c r="A317">
        <v>316</v>
      </c>
      <c r="B317">
        <v>8932</v>
      </c>
      <c r="C317" t="s">
        <v>110</v>
      </c>
    </row>
    <row r="318" spans="1:3" x14ac:dyDescent="0.25">
      <c r="A318">
        <v>317</v>
      </c>
      <c r="B318">
        <v>4945</v>
      </c>
      <c r="C318" t="s">
        <v>111</v>
      </c>
    </row>
    <row r="319" spans="1:3" x14ac:dyDescent="0.25">
      <c r="A319">
        <v>318</v>
      </c>
      <c r="B319">
        <v>4105</v>
      </c>
      <c r="C319" t="s">
        <v>112</v>
      </c>
    </row>
    <row r="320" spans="1:3" x14ac:dyDescent="0.25">
      <c r="A320">
        <v>319</v>
      </c>
      <c r="B320">
        <v>8933</v>
      </c>
      <c r="C320" t="s">
        <v>113</v>
      </c>
    </row>
    <row r="321" spans="1:3" x14ac:dyDescent="0.25">
      <c r="A321">
        <v>320</v>
      </c>
      <c r="B321">
        <v>5011</v>
      </c>
      <c r="C321" t="s">
        <v>114</v>
      </c>
    </row>
    <row r="322" spans="1:3" x14ac:dyDescent="0.25">
      <c r="A322">
        <v>321</v>
      </c>
      <c r="B322">
        <v>6276</v>
      </c>
      <c r="C322" t="s">
        <v>115</v>
      </c>
    </row>
    <row r="323" spans="1:3" x14ac:dyDescent="0.25">
      <c r="A323">
        <v>322</v>
      </c>
      <c r="B323">
        <v>6146</v>
      </c>
      <c r="C323" t="s">
        <v>116</v>
      </c>
    </row>
    <row r="324" spans="1:3" x14ac:dyDescent="0.25">
      <c r="A324">
        <v>323</v>
      </c>
      <c r="B324">
        <v>6279</v>
      </c>
      <c r="C324" t="s">
        <v>117</v>
      </c>
    </row>
    <row r="325" spans="1:3" x14ac:dyDescent="0.25">
      <c r="A325">
        <v>324</v>
      </c>
      <c r="B325">
        <v>3444</v>
      </c>
      <c r="C325" t="s">
        <v>118</v>
      </c>
    </row>
    <row r="326" spans="1:3" x14ac:dyDescent="0.25">
      <c r="A326">
        <v>325</v>
      </c>
      <c r="B326">
        <v>6570</v>
      </c>
      <c r="C326" t="s">
        <v>119</v>
      </c>
    </row>
    <row r="327" spans="1:3" x14ac:dyDescent="0.25">
      <c r="A327">
        <v>326</v>
      </c>
      <c r="B327">
        <v>8906</v>
      </c>
      <c r="C327" t="s">
        <v>120</v>
      </c>
    </row>
    <row r="328" spans="1:3" x14ac:dyDescent="0.25">
      <c r="A328">
        <v>327</v>
      </c>
      <c r="B328">
        <v>3529</v>
      </c>
      <c r="C328" t="s">
        <v>121</v>
      </c>
    </row>
    <row r="329" spans="1:3" x14ac:dyDescent="0.25">
      <c r="A329">
        <v>328</v>
      </c>
      <c r="B329">
        <v>3086</v>
      </c>
      <c r="C329" t="s">
        <v>122</v>
      </c>
    </row>
    <row r="330" spans="1:3" x14ac:dyDescent="0.25">
      <c r="A330">
        <v>329</v>
      </c>
      <c r="B330">
        <v>8049</v>
      </c>
      <c r="C330" t="s">
        <v>123</v>
      </c>
    </row>
    <row r="331" spans="1:3" x14ac:dyDescent="0.25">
      <c r="A331">
        <v>330</v>
      </c>
      <c r="B331">
        <v>2066</v>
      </c>
      <c r="C331" t="s">
        <v>124</v>
      </c>
    </row>
    <row r="332" spans="1:3" x14ac:dyDescent="0.25">
      <c r="A332">
        <v>331</v>
      </c>
      <c r="B332">
        <v>3687</v>
      </c>
      <c r="C332" t="s">
        <v>125</v>
      </c>
    </row>
    <row r="333" spans="1:3" x14ac:dyDescent="0.25">
      <c r="A333">
        <v>332</v>
      </c>
      <c r="B333">
        <v>3232</v>
      </c>
      <c r="C333" t="s">
        <v>126</v>
      </c>
    </row>
    <row r="334" spans="1:3" x14ac:dyDescent="0.25">
      <c r="A334">
        <v>333</v>
      </c>
      <c r="B334">
        <v>3499</v>
      </c>
      <c r="C334" t="s">
        <v>127</v>
      </c>
    </row>
    <row r="335" spans="1:3" x14ac:dyDescent="0.25">
      <c r="A335">
        <v>334</v>
      </c>
      <c r="B335">
        <v>3516</v>
      </c>
      <c r="C335" t="s">
        <v>128</v>
      </c>
    </row>
    <row r="336" spans="1:3" x14ac:dyDescent="0.25">
      <c r="A336">
        <v>335</v>
      </c>
      <c r="B336">
        <v>5481</v>
      </c>
      <c r="C336" t="s">
        <v>129</v>
      </c>
    </row>
    <row r="337" spans="1:3" x14ac:dyDescent="0.25">
      <c r="A337">
        <v>336</v>
      </c>
      <c r="B337">
        <v>6134</v>
      </c>
      <c r="C337" t="s">
        <v>130</v>
      </c>
    </row>
    <row r="338" spans="1:3" x14ac:dyDescent="0.25">
      <c r="A338">
        <v>337</v>
      </c>
      <c r="B338">
        <v>3276</v>
      </c>
      <c r="C338" t="s">
        <v>131</v>
      </c>
    </row>
    <row r="339" spans="1:3" x14ac:dyDescent="0.25">
      <c r="A339">
        <v>338</v>
      </c>
      <c r="B339">
        <v>6596</v>
      </c>
      <c r="C339" t="s">
        <v>132</v>
      </c>
    </row>
    <row r="340" spans="1:3" x14ac:dyDescent="0.25">
      <c r="A340">
        <v>339</v>
      </c>
      <c r="B340">
        <v>6263</v>
      </c>
      <c r="C340" t="s">
        <v>133</v>
      </c>
    </row>
    <row r="341" spans="1:3" x14ac:dyDescent="0.25">
      <c r="A341">
        <v>340</v>
      </c>
      <c r="B341">
        <v>6261</v>
      </c>
      <c r="C341" t="s">
        <v>134</v>
      </c>
    </row>
    <row r="342" spans="1:3" x14ac:dyDescent="0.25">
      <c r="A342">
        <v>341</v>
      </c>
      <c r="B342">
        <v>8084</v>
      </c>
      <c r="C342" t="s">
        <v>135</v>
      </c>
    </row>
    <row r="343" spans="1:3" x14ac:dyDescent="0.25">
      <c r="A343">
        <v>342</v>
      </c>
      <c r="B343">
        <v>4168</v>
      </c>
      <c r="C343" t="s">
        <v>136</v>
      </c>
    </row>
    <row r="344" spans="1:3" x14ac:dyDescent="0.25">
      <c r="A344">
        <v>343</v>
      </c>
      <c r="B344">
        <v>8436</v>
      </c>
      <c r="C344" t="s">
        <v>137</v>
      </c>
    </row>
    <row r="345" spans="1:3" x14ac:dyDescent="0.25">
      <c r="A345">
        <v>344</v>
      </c>
      <c r="B345">
        <v>8097</v>
      </c>
      <c r="C345" t="s">
        <v>138</v>
      </c>
    </row>
    <row r="346" spans="1:3" x14ac:dyDescent="0.25">
      <c r="A346">
        <v>345</v>
      </c>
      <c r="B346">
        <v>3484</v>
      </c>
      <c r="C346" t="s">
        <v>139</v>
      </c>
    </row>
    <row r="347" spans="1:3" x14ac:dyDescent="0.25">
      <c r="A347">
        <v>346</v>
      </c>
      <c r="B347">
        <v>1799</v>
      </c>
      <c r="C347" t="s">
        <v>140</v>
      </c>
    </row>
    <row r="348" spans="1:3" x14ac:dyDescent="0.25">
      <c r="A348">
        <v>347</v>
      </c>
      <c r="B348">
        <v>5410</v>
      </c>
      <c r="C348" t="s">
        <v>141</v>
      </c>
    </row>
    <row r="349" spans="1:3" x14ac:dyDescent="0.25">
      <c r="A349">
        <v>348</v>
      </c>
      <c r="B349">
        <v>4529</v>
      </c>
      <c r="C349" t="s">
        <v>142</v>
      </c>
    </row>
    <row r="350" spans="1:3" x14ac:dyDescent="0.25">
      <c r="A350">
        <v>349</v>
      </c>
      <c r="B350">
        <v>3218</v>
      </c>
      <c r="C350" t="s">
        <v>143</v>
      </c>
    </row>
    <row r="351" spans="1:3" x14ac:dyDescent="0.25">
      <c r="A351">
        <v>350</v>
      </c>
      <c r="B351">
        <v>6492</v>
      </c>
      <c r="C351" t="s">
        <v>144</v>
      </c>
    </row>
    <row r="352" spans="1:3" x14ac:dyDescent="0.25">
      <c r="A352">
        <v>351</v>
      </c>
      <c r="B352">
        <v>4420</v>
      </c>
      <c r="C352" t="s">
        <v>145</v>
      </c>
    </row>
    <row r="353" spans="1:3" x14ac:dyDescent="0.25">
      <c r="A353">
        <v>352</v>
      </c>
      <c r="B353">
        <v>8401</v>
      </c>
      <c r="C353" t="s">
        <v>146</v>
      </c>
    </row>
    <row r="354" spans="1:3" x14ac:dyDescent="0.25">
      <c r="A354">
        <v>353</v>
      </c>
      <c r="B354">
        <v>6175</v>
      </c>
      <c r="C354" t="s">
        <v>147</v>
      </c>
    </row>
    <row r="355" spans="1:3" x14ac:dyDescent="0.25">
      <c r="A355">
        <v>354</v>
      </c>
      <c r="B355">
        <v>5609</v>
      </c>
      <c r="C355" t="s">
        <v>148</v>
      </c>
    </row>
    <row r="356" spans="1:3" x14ac:dyDescent="0.25">
      <c r="A356">
        <v>355</v>
      </c>
      <c r="B356">
        <v>5274</v>
      </c>
      <c r="C356" t="s">
        <v>149</v>
      </c>
    </row>
    <row r="357" spans="1:3" x14ac:dyDescent="0.25">
      <c r="A357">
        <v>356</v>
      </c>
      <c r="B357">
        <v>6292</v>
      </c>
      <c r="C357" t="s">
        <v>150</v>
      </c>
    </row>
    <row r="358" spans="1:3" x14ac:dyDescent="0.25">
      <c r="A358">
        <v>357</v>
      </c>
      <c r="B358">
        <v>5356</v>
      </c>
      <c r="C358" t="s">
        <v>151</v>
      </c>
    </row>
    <row r="359" spans="1:3" x14ac:dyDescent="0.25">
      <c r="A359">
        <v>358</v>
      </c>
      <c r="B359">
        <v>3630</v>
      </c>
      <c r="C359" t="s">
        <v>152</v>
      </c>
    </row>
    <row r="360" spans="1:3" x14ac:dyDescent="0.25">
      <c r="A360">
        <v>359</v>
      </c>
      <c r="B360">
        <v>8354</v>
      </c>
      <c r="C360" t="s">
        <v>153</v>
      </c>
    </row>
    <row r="361" spans="1:3" x14ac:dyDescent="0.25">
      <c r="A361">
        <v>360</v>
      </c>
      <c r="B361">
        <v>6411</v>
      </c>
      <c r="C361" t="s">
        <v>154</v>
      </c>
    </row>
    <row r="362" spans="1:3" x14ac:dyDescent="0.25">
      <c r="A362">
        <v>361</v>
      </c>
      <c r="B362">
        <v>4931</v>
      </c>
      <c r="C362" t="s">
        <v>155</v>
      </c>
    </row>
    <row r="363" spans="1:3" x14ac:dyDescent="0.25">
      <c r="A363">
        <v>362</v>
      </c>
      <c r="B363">
        <v>8176</v>
      </c>
      <c r="C363" t="s">
        <v>156</v>
      </c>
    </row>
    <row r="364" spans="1:3" x14ac:dyDescent="0.25">
      <c r="A364">
        <v>363</v>
      </c>
      <c r="B364">
        <v>3073</v>
      </c>
      <c r="C364" t="s">
        <v>157</v>
      </c>
    </row>
    <row r="365" spans="1:3" x14ac:dyDescent="0.25">
      <c r="A365">
        <v>364</v>
      </c>
      <c r="B365">
        <v>6732</v>
      </c>
      <c r="C365" t="s">
        <v>158</v>
      </c>
    </row>
    <row r="366" spans="1:3" x14ac:dyDescent="0.25">
      <c r="A366">
        <v>365</v>
      </c>
      <c r="B366">
        <v>3171</v>
      </c>
      <c r="C366" t="s">
        <v>159</v>
      </c>
    </row>
    <row r="367" spans="1:3" x14ac:dyDescent="0.25">
      <c r="A367">
        <v>366</v>
      </c>
      <c r="B367">
        <v>8182</v>
      </c>
      <c r="C367" t="s">
        <v>160</v>
      </c>
    </row>
    <row r="368" spans="1:3" x14ac:dyDescent="0.25">
      <c r="A368">
        <v>367</v>
      </c>
      <c r="B368">
        <v>5603</v>
      </c>
      <c r="C368" t="s">
        <v>161</v>
      </c>
    </row>
    <row r="369" spans="1:3" x14ac:dyDescent="0.25">
      <c r="A369">
        <v>368</v>
      </c>
      <c r="B369">
        <v>6485</v>
      </c>
      <c r="C369" t="s">
        <v>162</v>
      </c>
    </row>
    <row r="370" spans="1:3" x14ac:dyDescent="0.25">
      <c r="A370">
        <v>369</v>
      </c>
      <c r="B370">
        <v>6811</v>
      </c>
      <c r="C370" t="s">
        <v>163</v>
      </c>
    </row>
    <row r="371" spans="1:3" x14ac:dyDescent="0.25">
      <c r="A371">
        <v>370</v>
      </c>
      <c r="B371">
        <v>3224</v>
      </c>
      <c r="C371" t="s">
        <v>164</v>
      </c>
    </row>
    <row r="372" spans="1:3" x14ac:dyDescent="0.25">
      <c r="A372">
        <v>371</v>
      </c>
      <c r="B372">
        <v>3526</v>
      </c>
      <c r="C372" t="s">
        <v>165</v>
      </c>
    </row>
    <row r="373" spans="1:3" x14ac:dyDescent="0.25">
      <c r="A373">
        <v>372</v>
      </c>
      <c r="B373">
        <v>6895</v>
      </c>
      <c r="C373" t="s">
        <v>166</v>
      </c>
    </row>
    <row r="374" spans="1:3" x14ac:dyDescent="0.25">
      <c r="A374">
        <v>373</v>
      </c>
      <c r="B374">
        <v>3521</v>
      </c>
      <c r="C374" t="s">
        <v>167</v>
      </c>
    </row>
    <row r="375" spans="1:3" x14ac:dyDescent="0.25">
      <c r="A375">
        <v>374</v>
      </c>
      <c r="B375">
        <v>8093</v>
      </c>
      <c r="C375" t="s">
        <v>168</v>
      </c>
    </row>
    <row r="376" spans="1:3" x14ac:dyDescent="0.25">
      <c r="A376">
        <v>375</v>
      </c>
      <c r="B376">
        <v>3492</v>
      </c>
      <c r="C376" t="s">
        <v>169</v>
      </c>
    </row>
    <row r="377" spans="1:3" x14ac:dyDescent="0.25">
      <c r="A377">
        <v>376</v>
      </c>
      <c r="B377">
        <v>6735</v>
      </c>
      <c r="C377" t="s">
        <v>170</v>
      </c>
    </row>
    <row r="378" spans="1:3" x14ac:dyDescent="0.25">
      <c r="A378">
        <v>377</v>
      </c>
      <c r="B378">
        <v>8937</v>
      </c>
      <c r="C378" t="s">
        <v>171</v>
      </c>
    </row>
    <row r="379" spans="1:3" x14ac:dyDescent="0.25">
      <c r="A379">
        <v>378</v>
      </c>
      <c r="B379">
        <v>5314</v>
      </c>
      <c r="C379" t="s">
        <v>172</v>
      </c>
    </row>
    <row r="380" spans="1:3" x14ac:dyDescent="0.25">
      <c r="A380">
        <v>379</v>
      </c>
      <c r="B380">
        <v>3558</v>
      </c>
      <c r="C380" t="s">
        <v>173</v>
      </c>
    </row>
    <row r="381" spans="1:3" x14ac:dyDescent="0.25">
      <c r="A381">
        <v>380</v>
      </c>
      <c r="B381">
        <v>4111</v>
      </c>
      <c r="C381" t="s">
        <v>174</v>
      </c>
    </row>
    <row r="382" spans="1:3" x14ac:dyDescent="0.25">
      <c r="A382">
        <v>381</v>
      </c>
      <c r="B382">
        <v>3206</v>
      </c>
      <c r="C382" t="s">
        <v>175</v>
      </c>
    </row>
    <row r="383" spans="1:3" x14ac:dyDescent="0.25">
      <c r="A383">
        <v>382</v>
      </c>
      <c r="B383">
        <v>3176</v>
      </c>
      <c r="C383" t="s">
        <v>176</v>
      </c>
    </row>
    <row r="384" spans="1:3" x14ac:dyDescent="0.25">
      <c r="A384">
        <v>383</v>
      </c>
      <c r="B384">
        <v>4188</v>
      </c>
      <c r="C384" t="s">
        <v>177</v>
      </c>
    </row>
    <row r="385" spans="1:3" x14ac:dyDescent="0.25">
      <c r="A385">
        <v>384</v>
      </c>
      <c r="B385">
        <v>3323</v>
      </c>
      <c r="C385" t="s">
        <v>178</v>
      </c>
    </row>
    <row r="386" spans="1:3" x14ac:dyDescent="0.25">
      <c r="A386">
        <v>385</v>
      </c>
      <c r="B386">
        <v>8047</v>
      </c>
      <c r="C386" t="s">
        <v>179</v>
      </c>
    </row>
    <row r="387" spans="1:3" x14ac:dyDescent="0.25">
      <c r="A387">
        <v>386</v>
      </c>
      <c r="B387">
        <v>5353</v>
      </c>
      <c r="C387" t="s">
        <v>180</v>
      </c>
    </row>
    <row r="388" spans="1:3" x14ac:dyDescent="0.25">
      <c r="A388">
        <v>387</v>
      </c>
      <c r="B388">
        <v>6109</v>
      </c>
      <c r="C388" t="s">
        <v>181</v>
      </c>
    </row>
    <row r="389" spans="1:3" x14ac:dyDescent="0.25">
      <c r="A389">
        <v>388</v>
      </c>
      <c r="B389">
        <v>6419</v>
      </c>
      <c r="C389" t="s">
        <v>182</v>
      </c>
    </row>
    <row r="390" spans="1:3" x14ac:dyDescent="0.25">
      <c r="A390">
        <v>389</v>
      </c>
      <c r="B390">
        <v>6185</v>
      </c>
      <c r="C390" t="s">
        <v>183</v>
      </c>
    </row>
    <row r="391" spans="1:3" x14ac:dyDescent="0.25">
      <c r="A391">
        <v>390</v>
      </c>
      <c r="B391">
        <v>5364</v>
      </c>
      <c r="C391" t="s">
        <v>184</v>
      </c>
    </row>
    <row r="392" spans="1:3" x14ac:dyDescent="0.25">
      <c r="A392">
        <v>391</v>
      </c>
      <c r="B392">
        <v>6124</v>
      </c>
      <c r="C392" t="s">
        <v>185</v>
      </c>
    </row>
    <row r="393" spans="1:3" x14ac:dyDescent="0.25">
      <c r="A393">
        <v>392</v>
      </c>
      <c r="B393">
        <v>6761</v>
      </c>
      <c r="C393" t="s">
        <v>186</v>
      </c>
    </row>
    <row r="394" spans="1:3" x14ac:dyDescent="0.25">
      <c r="A394">
        <v>393</v>
      </c>
      <c r="B394">
        <v>6266</v>
      </c>
      <c r="C394" t="s">
        <v>187</v>
      </c>
    </row>
    <row r="395" spans="1:3" x14ac:dyDescent="0.25">
      <c r="A395">
        <v>394</v>
      </c>
      <c r="B395">
        <v>4207</v>
      </c>
      <c r="C395" t="s">
        <v>188</v>
      </c>
    </row>
    <row r="396" spans="1:3" x14ac:dyDescent="0.25">
      <c r="A396">
        <v>395</v>
      </c>
      <c r="B396">
        <v>3373</v>
      </c>
      <c r="C396" t="s">
        <v>189</v>
      </c>
    </row>
    <row r="397" spans="1:3" x14ac:dyDescent="0.25">
      <c r="A397">
        <v>396</v>
      </c>
      <c r="B397">
        <v>3128</v>
      </c>
      <c r="C397" t="s">
        <v>190</v>
      </c>
    </row>
    <row r="398" spans="1:3" x14ac:dyDescent="0.25">
      <c r="A398">
        <v>397</v>
      </c>
      <c r="B398">
        <v>9950</v>
      </c>
      <c r="C398" t="s">
        <v>191</v>
      </c>
    </row>
    <row r="399" spans="1:3" x14ac:dyDescent="0.25">
      <c r="A399">
        <v>398</v>
      </c>
      <c r="B399">
        <v>6741</v>
      </c>
      <c r="C399" t="s">
        <v>192</v>
      </c>
    </row>
    <row r="400" spans="1:3" x14ac:dyDescent="0.25">
      <c r="A400">
        <v>399</v>
      </c>
      <c r="B400">
        <v>8183</v>
      </c>
      <c r="C400" t="s">
        <v>193</v>
      </c>
    </row>
    <row r="401" spans="1:3" x14ac:dyDescent="0.25">
      <c r="A401">
        <v>400</v>
      </c>
      <c r="B401">
        <v>8938</v>
      </c>
      <c r="C401" t="s">
        <v>194</v>
      </c>
    </row>
    <row r="402" spans="1:3" x14ac:dyDescent="0.25">
      <c r="A402">
        <v>401</v>
      </c>
      <c r="B402">
        <v>2596</v>
      </c>
      <c r="C402" t="s">
        <v>195</v>
      </c>
    </row>
    <row r="403" spans="1:3" x14ac:dyDescent="0.25">
      <c r="A403">
        <v>402</v>
      </c>
      <c r="B403">
        <v>3441</v>
      </c>
      <c r="C403" t="s">
        <v>196</v>
      </c>
    </row>
    <row r="404" spans="1:3" x14ac:dyDescent="0.25">
      <c r="A404">
        <v>403</v>
      </c>
      <c r="B404">
        <v>8942</v>
      </c>
      <c r="C404" t="s">
        <v>197</v>
      </c>
    </row>
    <row r="405" spans="1:3" x14ac:dyDescent="0.25">
      <c r="A405">
        <v>404</v>
      </c>
      <c r="B405">
        <v>4523</v>
      </c>
      <c r="C405" t="s">
        <v>198</v>
      </c>
    </row>
    <row r="406" spans="1:3" x14ac:dyDescent="0.25">
      <c r="A406">
        <v>405</v>
      </c>
      <c r="B406">
        <v>6616</v>
      </c>
      <c r="C406" t="s">
        <v>199</v>
      </c>
    </row>
    <row r="407" spans="1:3" x14ac:dyDescent="0.25">
      <c r="A407">
        <v>406</v>
      </c>
      <c r="B407">
        <v>3508</v>
      </c>
      <c r="C407" t="s">
        <v>200</v>
      </c>
    </row>
    <row r="408" spans="1:3" x14ac:dyDescent="0.25">
      <c r="A408">
        <v>407</v>
      </c>
      <c r="B408">
        <v>5315</v>
      </c>
      <c r="C408" t="s">
        <v>201</v>
      </c>
    </row>
    <row r="409" spans="1:3" x14ac:dyDescent="0.25">
      <c r="A409">
        <v>408</v>
      </c>
      <c r="B409">
        <v>6517</v>
      </c>
      <c r="C409" t="s">
        <v>202</v>
      </c>
    </row>
    <row r="410" spans="1:3" x14ac:dyDescent="0.25">
      <c r="A410">
        <v>409</v>
      </c>
      <c r="B410">
        <v>6457</v>
      </c>
      <c r="C410" t="s">
        <v>203</v>
      </c>
    </row>
    <row r="411" spans="1:3" x14ac:dyDescent="0.25">
      <c r="A411">
        <v>410</v>
      </c>
      <c r="B411">
        <v>6118</v>
      </c>
      <c r="C411" t="s">
        <v>204</v>
      </c>
    </row>
    <row r="412" spans="1:3" x14ac:dyDescent="0.25">
      <c r="A412">
        <v>411</v>
      </c>
      <c r="B412">
        <v>5523</v>
      </c>
      <c r="C412" t="s">
        <v>205</v>
      </c>
    </row>
    <row r="413" spans="1:3" x14ac:dyDescent="0.25">
      <c r="A413">
        <v>412</v>
      </c>
      <c r="B413">
        <v>1781</v>
      </c>
      <c r="C413" t="s">
        <v>206</v>
      </c>
    </row>
    <row r="414" spans="1:3" x14ac:dyDescent="0.25">
      <c r="A414">
        <v>413</v>
      </c>
      <c r="B414">
        <v>3609</v>
      </c>
      <c r="C414" t="s">
        <v>207</v>
      </c>
    </row>
    <row r="415" spans="1:3" x14ac:dyDescent="0.25">
      <c r="A415">
        <v>414</v>
      </c>
      <c r="B415">
        <v>4951</v>
      </c>
      <c r="C415" t="s">
        <v>208</v>
      </c>
    </row>
    <row r="416" spans="1:3" x14ac:dyDescent="0.25">
      <c r="A416">
        <v>415</v>
      </c>
      <c r="B416">
        <v>4721</v>
      </c>
      <c r="C416" t="s">
        <v>209</v>
      </c>
    </row>
    <row r="417" spans="1:3" x14ac:dyDescent="0.25">
      <c r="A417">
        <v>416</v>
      </c>
      <c r="B417">
        <v>5450</v>
      </c>
      <c r="C417" t="s">
        <v>210</v>
      </c>
    </row>
    <row r="418" spans="1:3" x14ac:dyDescent="0.25">
      <c r="A418">
        <v>417</v>
      </c>
      <c r="B418">
        <v>4102</v>
      </c>
      <c r="C418" t="s">
        <v>211</v>
      </c>
    </row>
    <row r="419" spans="1:3" x14ac:dyDescent="0.25">
      <c r="A419">
        <v>418</v>
      </c>
      <c r="B419">
        <v>6613</v>
      </c>
      <c r="C419" t="s">
        <v>212</v>
      </c>
    </row>
    <row r="420" spans="1:3" x14ac:dyDescent="0.25">
      <c r="A420">
        <v>419</v>
      </c>
      <c r="B420">
        <v>5398</v>
      </c>
      <c r="C420" t="s">
        <v>213</v>
      </c>
    </row>
    <row r="421" spans="1:3" x14ac:dyDescent="0.25">
      <c r="A421">
        <v>420</v>
      </c>
      <c r="B421">
        <v>4556</v>
      </c>
      <c r="C421" t="s">
        <v>214</v>
      </c>
    </row>
    <row r="422" spans="1:3" x14ac:dyDescent="0.25">
      <c r="A422">
        <v>421</v>
      </c>
      <c r="B422">
        <v>8349</v>
      </c>
      <c r="C422" t="s">
        <v>215</v>
      </c>
    </row>
    <row r="423" spans="1:3" x14ac:dyDescent="0.25">
      <c r="A423">
        <v>422</v>
      </c>
      <c r="B423">
        <v>8935</v>
      </c>
      <c r="C423" t="s">
        <v>216</v>
      </c>
    </row>
    <row r="424" spans="1:3" x14ac:dyDescent="0.25">
      <c r="A424">
        <v>423</v>
      </c>
      <c r="B424">
        <v>8415</v>
      </c>
      <c r="C424" t="s">
        <v>217</v>
      </c>
    </row>
    <row r="425" spans="1:3" x14ac:dyDescent="0.25">
      <c r="A425">
        <v>424</v>
      </c>
      <c r="B425">
        <v>5310</v>
      </c>
      <c r="C425" t="s">
        <v>218</v>
      </c>
    </row>
    <row r="426" spans="1:3" x14ac:dyDescent="0.25">
      <c r="A426">
        <v>425</v>
      </c>
      <c r="B426">
        <v>4401</v>
      </c>
      <c r="C426" t="s">
        <v>219</v>
      </c>
    </row>
    <row r="427" spans="1:3" x14ac:dyDescent="0.25">
      <c r="A427">
        <v>426</v>
      </c>
      <c r="B427">
        <v>6435</v>
      </c>
      <c r="C427" t="s">
        <v>220</v>
      </c>
    </row>
    <row r="428" spans="1:3" x14ac:dyDescent="0.25">
      <c r="A428">
        <v>427</v>
      </c>
      <c r="B428">
        <v>8426</v>
      </c>
      <c r="C428" t="s">
        <v>221</v>
      </c>
    </row>
    <row r="429" spans="1:3" x14ac:dyDescent="0.25">
      <c r="A429">
        <v>428</v>
      </c>
      <c r="B429">
        <v>4974</v>
      </c>
      <c r="C429" t="s">
        <v>222</v>
      </c>
    </row>
    <row r="430" spans="1:3" x14ac:dyDescent="0.25">
      <c r="A430">
        <v>429</v>
      </c>
      <c r="B430">
        <v>4744</v>
      </c>
      <c r="C430" t="s">
        <v>223</v>
      </c>
    </row>
    <row r="431" spans="1:3" x14ac:dyDescent="0.25">
      <c r="A431">
        <v>430</v>
      </c>
      <c r="B431">
        <v>4121</v>
      </c>
      <c r="C431" t="s">
        <v>224</v>
      </c>
    </row>
    <row r="432" spans="1:3" x14ac:dyDescent="0.25">
      <c r="A432">
        <v>431</v>
      </c>
      <c r="B432">
        <v>6486</v>
      </c>
      <c r="C432" t="s">
        <v>225</v>
      </c>
    </row>
    <row r="433" spans="1:3" x14ac:dyDescent="0.25">
      <c r="A433">
        <v>432</v>
      </c>
      <c r="B433">
        <v>6101</v>
      </c>
      <c r="C433" t="s">
        <v>226</v>
      </c>
    </row>
    <row r="434" spans="1:3" x14ac:dyDescent="0.25">
      <c r="A434">
        <v>433</v>
      </c>
      <c r="B434">
        <v>4907</v>
      </c>
      <c r="C434" t="s">
        <v>227</v>
      </c>
    </row>
    <row r="435" spans="1:3" x14ac:dyDescent="0.25">
      <c r="A435">
        <v>434</v>
      </c>
      <c r="B435">
        <v>6023</v>
      </c>
      <c r="C435" t="s">
        <v>228</v>
      </c>
    </row>
    <row r="436" spans="1:3" x14ac:dyDescent="0.25">
      <c r="A436">
        <v>435</v>
      </c>
      <c r="B436">
        <v>6875</v>
      </c>
      <c r="C436" t="s">
        <v>229</v>
      </c>
    </row>
    <row r="437" spans="1:3" x14ac:dyDescent="0.25">
      <c r="A437">
        <v>436</v>
      </c>
      <c r="B437">
        <v>6733</v>
      </c>
      <c r="C437" t="s">
        <v>230</v>
      </c>
    </row>
    <row r="438" spans="1:3" x14ac:dyDescent="0.25">
      <c r="A438">
        <v>437</v>
      </c>
      <c r="B438">
        <v>5904</v>
      </c>
      <c r="C438" t="s">
        <v>231</v>
      </c>
    </row>
    <row r="439" spans="1:3" x14ac:dyDescent="0.25">
      <c r="A439">
        <v>438</v>
      </c>
      <c r="B439">
        <v>6469</v>
      </c>
      <c r="C439" t="s">
        <v>232</v>
      </c>
    </row>
    <row r="440" spans="1:3" x14ac:dyDescent="0.25">
      <c r="A440">
        <v>439</v>
      </c>
      <c r="B440">
        <v>8171</v>
      </c>
      <c r="C440" t="s">
        <v>233</v>
      </c>
    </row>
    <row r="441" spans="1:3" x14ac:dyDescent="0.25">
      <c r="A441">
        <v>440</v>
      </c>
      <c r="B441">
        <v>6576</v>
      </c>
      <c r="C441" t="s">
        <v>234</v>
      </c>
    </row>
    <row r="442" spans="1:3" x14ac:dyDescent="0.25">
      <c r="A442">
        <v>441</v>
      </c>
      <c r="B442">
        <v>3285</v>
      </c>
      <c r="C442" t="s">
        <v>235</v>
      </c>
    </row>
    <row r="443" spans="1:3" x14ac:dyDescent="0.25">
      <c r="A443">
        <v>442</v>
      </c>
      <c r="B443">
        <v>6021</v>
      </c>
      <c r="C443" t="s">
        <v>236</v>
      </c>
    </row>
    <row r="444" spans="1:3" x14ac:dyDescent="0.25">
      <c r="A444">
        <v>443</v>
      </c>
      <c r="B444">
        <v>6569</v>
      </c>
      <c r="C444" t="s">
        <v>237</v>
      </c>
    </row>
    <row r="445" spans="1:3" x14ac:dyDescent="0.25">
      <c r="A445">
        <v>444</v>
      </c>
      <c r="B445">
        <v>5211</v>
      </c>
      <c r="C445" t="s">
        <v>238</v>
      </c>
    </row>
    <row r="446" spans="1:3" x14ac:dyDescent="0.25">
      <c r="A446">
        <v>445</v>
      </c>
      <c r="B446">
        <v>3434</v>
      </c>
      <c r="C446" t="s">
        <v>239</v>
      </c>
    </row>
    <row r="447" spans="1:3" x14ac:dyDescent="0.25">
      <c r="A447">
        <v>446</v>
      </c>
      <c r="B447">
        <v>3552</v>
      </c>
      <c r="C447" t="s">
        <v>240</v>
      </c>
    </row>
    <row r="448" spans="1:3" x14ac:dyDescent="0.25">
      <c r="A448">
        <v>447</v>
      </c>
      <c r="B448">
        <v>8916</v>
      </c>
      <c r="C448" t="s">
        <v>241</v>
      </c>
    </row>
    <row r="449" spans="1:3" x14ac:dyDescent="0.25">
      <c r="A449">
        <v>448</v>
      </c>
      <c r="B449">
        <v>5201</v>
      </c>
      <c r="C449" t="s">
        <v>242</v>
      </c>
    </row>
    <row r="450" spans="1:3" x14ac:dyDescent="0.25">
      <c r="A450">
        <v>449</v>
      </c>
      <c r="B450">
        <v>3597</v>
      </c>
      <c r="C450" t="s">
        <v>243</v>
      </c>
    </row>
    <row r="451" spans="1:3" x14ac:dyDescent="0.25">
      <c r="A451">
        <v>450</v>
      </c>
      <c r="B451">
        <v>4541</v>
      </c>
      <c r="C451" t="s">
        <v>244</v>
      </c>
    </row>
    <row r="452" spans="1:3" x14ac:dyDescent="0.25">
      <c r="A452">
        <v>451</v>
      </c>
      <c r="B452">
        <v>3317</v>
      </c>
      <c r="C452" t="s">
        <v>245</v>
      </c>
    </row>
    <row r="453" spans="1:3" x14ac:dyDescent="0.25">
      <c r="A453">
        <v>452</v>
      </c>
      <c r="B453">
        <v>6194</v>
      </c>
      <c r="C453" t="s">
        <v>246</v>
      </c>
    </row>
    <row r="454" spans="1:3" x14ac:dyDescent="0.25">
      <c r="A454">
        <v>453</v>
      </c>
      <c r="B454">
        <v>8446</v>
      </c>
      <c r="C454" t="s">
        <v>247</v>
      </c>
    </row>
    <row r="455" spans="1:3" x14ac:dyDescent="0.25">
      <c r="A455">
        <v>454</v>
      </c>
      <c r="B455">
        <v>3631</v>
      </c>
      <c r="C455" t="s">
        <v>248</v>
      </c>
    </row>
    <row r="456" spans="1:3" x14ac:dyDescent="0.25">
      <c r="A456">
        <v>455</v>
      </c>
      <c r="B456">
        <v>6577</v>
      </c>
      <c r="C456" t="s">
        <v>249</v>
      </c>
    </row>
    <row r="457" spans="1:3" x14ac:dyDescent="0.25">
      <c r="A457">
        <v>456</v>
      </c>
      <c r="B457">
        <v>3430</v>
      </c>
      <c r="C457" t="s">
        <v>250</v>
      </c>
    </row>
    <row r="458" spans="1:3" x14ac:dyDescent="0.25">
      <c r="A458">
        <v>457</v>
      </c>
      <c r="B458">
        <v>6203</v>
      </c>
      <c r="C458" t="s">
        <v>251</v>
      </c>
    </row>
    <row r="459" spans="1:3" x14ac:dyDescent="0.25">
      <c r="A459">
        <v>458</v>
      </c>
      <c r="B459">
        <v>2732</v>
      </c>
      <c r="C459" t="s">
        <v>252</v>
      </c>
    </row>
    <row r="460" spans="1:3" x14ac:dyDescent="0.25">
      <c r="A460">
        <v>459</v>
      </c>
      <c r="B460">
        <v>6198</v>
      </c>
      <c r="C460" t="s">
        <v>253</v>
      </c>
    </row>
    <row r="461" spans="1:3" x14ac:dyDescent="0.25">
      <c r="A461">
        <v>460</v>
      </c>
      <c r="B461">
        <v>8403</v>
      </c>
      <c r="C461" t="s">
        <v>254</v>
      </c>
    </row>
    <row r="462" spans="1:3" x14ac:dyDescent="0.25">
      <c r="A462">
        <v>461</v>
      </c>
      <c r="B462">
        <v>3664</v>
      </c>
      <c r="C462" t="s">
        <v>255</v>
      </c>
    </row>
    <row r="463" spans="1:3" x14ac:dyDescent="0.25">
      <c r="A463">
        <v>462</v>
      </c>
      <c r="B463">
        <v>6148</v>
      </c>
      <c r="C463" t="s">
        <v>256</v>
      </c>
    </row>
    <row r="464" spans="1:3" x14ac:dyDescent="0.25">
      <c r="A464">
        <v>463</v>
      </c>
      <c r="B464">
        <v>5206</v>
      </c>
      <c r="C464" t="s">
        <v>257</v>
      </c>
    </row>
    <row r="465" spans="1:3" x14ac:dyDescent="0.25">
      <c r="A465">
        <v>464</v>
      </c>
      <c r="B465">
        <v>6494</v>
      </c>
      <c r="C465" t="s">
        <v>258</v>
      </c>
    </row>
    <row r="466" spans="1:3" x14ac:dyDescent="0.25">
      <c r="A466">
        <v>465</v>
      </c>
      <c r="B466">
        <v>5227</v>
      </c>
      <c r="C466" t="s">
        <v>259</v>
      </c>
    </row>
    <row r="467" spans="1:3" x14ac:dyDescent="0.25">
      <c r="A467">
        <v>466</v>
      </c>
      <c r="B467">
        <v>6220</v>
      </c>
      <c r="C467" t="s">
        <v>260</v>
      </c>
    </row>
    <row r="468" spans="1:3" x14ac:dyDescent="0.25">
      <c r="A468">
        <v>467</v>
      </c>
      <c r="B468">
        <v>5403</v>
      </c>
      <c r="C468" t="s">
        <v>261</v>
      </c>
    </row>
    <row r="469" spans="1:3" x14ac:dyDescent="0.25">
      <c r="A469">
        <v>468</v>
      </c>
      <c r="B469">
        <v>3205</v>
      </c>
      <c r="C469" t="s">
        <v>262</v>
      </c>
    </row>
    <row r="470" spans="1:3" x14ac:dyDescent="0.25">
      <c r="A470">
        <v>469</v>
      </c>
      <c r="B470">
        <v>8410</v>
      </c>
      <c r="C470" t="s">
        <v>263</v>
      </c>
    </row>
    <row r="471" spans="1:3" x14ac:dyDescent="0.25">
      <c r="A471">
        <v>470</v>
      </c>
      <c r="B471">
        <v>4747</v>
      </c>
      <c r="C471" t="s">
        <v>264</v>
      </c>
    </row>
    <row r="472" spans="1:3" x14ac:dyDescent="0.25">
      <c r="A472">
        <v>471</v>
      </c>
      <c r="B472">
        <v>3546</v>
      </c>
      <c r="C472" t="s">
        <v>265</v>
      </c>
    </row>
    <row r="473" spans="1:3" x14ac:dyDescent="0.25">
      <c r="A473">
        <v>472</v>
      </c>
      <c r="B473">
        <v>8431</v>
      </c>
      <c r="C473" t="s">
        <v>266</v>
      </c>
    </row>
    <row r="474" spans="1:3" x14ac:dyDescent="0.25">
      <c r="A474">
        <v>473</v>
      </c>
      <c r="B474">
        <v>6461</v>
      </c>
      <c r="C474" t="s">
        <v>267</v>
      </c>
    </row>
    <row r="475" spans="1:3" x14ac:dyDescent="0.25">
      <c r="A475">
        <v>474</v>
      </c>
      <c r="B475">
        <v>8489</v>
      </c>
      <c r="C475" t="s">
        <v>268</v>
      </c>
    </row>
    <row r="476" spans="1:3" x14ac:dyDescent="0.25">
      <c r="A476">
        <v>475</v>
      </c>
      <c r="B476">
        <v>4711</v>
      </c>
      <c r="C476" t="s">
        <v>269</v>
      </c>
    </row>
    <row r="477" spans="1:3" x14ac:dyDescent="0.25">
      <c r="A477">
        <v>476</v>
      </c>
      <c r="B477">
        <v>6692</v>
      </c>
      <c r="C477" t="s">
        <v>270</v>
      </c>
    </row>
    <row r="478" spans="1:3" x14ac:dyDescent="0.25">
      <c r="A478">
        <v>477</v>
      </c>
      <c r="B478">
        <v>8087</v>
      </c>
      <c r="C478" t="s">
        <v>271</v>
      </c>
    </row>
    <row r="479" spans="1:3" x14ac:dyDescent="0.25">
      <c r="A479">
        <v>478</v>
      </c>
      <c r="B479">
        <v>5383</v>
      </c>
      <c r="C479" t="s">
        <v>272</v>
      </c>
    </row>
    <row r="480" spans="1:3" x14ac:dyDescent="0.25">
      <c r="A480">
        <v>479</v>
      </c>
      <c r="B480">
        <v>4153</v>
      </c>
      <c r="C480" t="s">
        <v>273</v>
      </c>
    </row>
    <row r="481" spans="1:3" x14ac:dyDescent="0.25">
      <c r="A481">
        <v>480</v>
      </c>
      <c r="B481">
        <v>5223</v>
      </c>
      <c r="C481" t="s">
        <v>274</v>
      </c>
    </row>
    <row r="482" spans="1:3" x14ac:dyDescent="0.25">
      <c r="A482">
        <v>481</v>
      </c>
      <c r="B482">
        <v>3625</v>
      </c>
      <c r="C482" t="s">
        <v>275</v>
      </c>
    </row>
    <row r="483" spans="1:3" x14ac:dyDescent="0.25">
      <c r="A483">
        <v>482</v>
      </c>
      <c r="B483">
        <v>6418</v>
      </c>
      <c r="C483" t="s">
        <v>276</v>
      </c>
    </row>
    <row r="484" spans="1:3" x14ac:dyDescent="0.25">
      <c r="A484">
        <v>483</v>
      </c>
      <c r="B484">
        <v>8432</v>
      </c>
      <c r="C484" t="s">
        <v>277</v>
      </c>
    </row>
    <row r="485" spans="1:3" x14ac:dyDescent="0.25">
      <c r="A485">
        <v>484</v>
      </c>
      <c r="B485">
        <v>6615</v>
      </c>
      <c r="C485" t="s">
        <v>278</v>
      </c>
    </row>
    <row r="486" spans="1:3" x14ac:dyDescent="0.25">
      <c r="A486">
        <v>485</v>
      </c>
      <c r="B486">
        <v>6470</v>
      </c>
      <c r="C486" t="s">
        <v>279</v>
      </c>
    </row>
    <row r="487" spans="1:3" x14ac:dyDescent="0.25">
      <c r="A487">
        <v>486</v>
      </c>
      <c r="B487">
        <v>8289</v>
      </c>
      <c r="C487" t="s">
        <v>280</v>
      </c>
    </row>
    <row r="488" spans="1:3" x14ac:dyDescent="0.25">
      <c r="A488">
        <v>487</v>
      </c>
      <c r="B488">
        <v>6441</v>
      </c>
      <c r="C488" t="s">
        <v>281</v>
      </c>
    </row>
    <row r="489" spans="1:3" x14ac:dyDescent="0.25">
      <c r="A489">
        <v>488</v>
      </c>
      <c r="B489">
        <v>9962</v>
      </c>
      <c r="C489" t="s">
        <v>282</v>
      </c>
    </row>
    <row r="490" spans="1:3" x14ac:dyDescent="0.25">
      <c r="A490">
        <v>489</v>
      </c>
      <c r="B490">
        <v>3236</v>
      </c>
      <c r="C490" t="s">
        <v>283</v>
      </c>
    </row>
    <row r="491" spans="1:3" x14ac:dyDescent="0.25">
      <c r="A491">
        <v>490</v>
      </c>
      <c r="B491">
        <v>1586</v>
      </c>
      <c r="C491" t="s">
        <v>284</v>
      </c>
    </row>
    <row r="492" spans="1:3" x14ac:dyDescent="0.25">
      <c r="A492">
        <v>491</v>
      </c>
      <c r="B492">
        <v>4130</v>
      </c>
      <c r="C492" t="s">
        <v>285</v>
      </c>
    </row>
    <row r="493" spans="1:3" x14ac:dyDescent="0.25">
      <c r="A493">
        <v>492</v>
      </c>
      <c r="B493">
        <v>4171</v>
      </c>
      <c r="C493" t="s">
        <v>286</v>
      </c>
    </row>
    <row r="494" spans="1:3" x14ac:dyDescent="0.25">
      <c r="A494">
        <v>493</v>
      </c>
      <c r="B494">
        <v>1336</v>
      </c>
      <c r="C494" t="s">
        <v>287</v>
      </c>
    </row>
    <row r="495" spans="1:3" x14ac:dyDescent="0.25">
      <c r="A495">
        <v>494</v>
      </c>
      <c r="B495">
        <v>2734</v>
      </c>
      <c r="C495" t="s">
        <v>288</v>
      </c>
    </row>
    <row r="496" spans="1:3" x14ac:dyDescent="0.25">
      <c r="A496">
        <v>495</v>
      </c>
      <c r="B496">
        <v>8421</v>
      </c>
      <c r="C496" t="s">
        <v>289</v>
      </c>
    </row>
    <row r="497" spans="1:3" x14ac:dyDescent="0.25">
      <c r="A497">
        <v>496</v>
      </c>
      <c r="B497">
        <v>4107</v>
      </c>
      <c r="C497" t="s">
        <v>290</v>
      </c>
    </row>
    <row r="498" spans="1:3" x14ac:dyDescent="0.25">
      <c r="A498">
        <v>497</v>
      </c>
      <c r="B498">
        <v>6228</v>
      </c>
      <c r="C498" t="s">
        <v>291</v>
      </c>
    </row>
    <row r="499" spans="1:3" x14ac:dyDescent="0.25">
      <c r="A499">
        <v>498</v>
      </c>
      <c r="B499">
        <v>6617</v>
      </c>
      <c r="C499" t="s">
        <v>292</v>
      </c>
    </row>
    <row r="500" spans="1:3" x14ac:dyDescent="0.25">
      <c r="A500">
        <v>499</v>
      </c>
      <c r="B500">
        <v>2916</v>
      </c>
      <c r="C500" t="s">
        <v>293</v>
      </c>
    </row>
    <row r="501" spans="1:3" x14ac:dyDescent="0.25">
      <c r="A501">
        <v>500</v>
      </c>
      <c r="B501">
        <v>8477</v>
      </c>
      <c r="C501" t="s">
        <v>294</v>
      </c>
    </row>
    <row r="502" spans="1:3" x14ac:dyDescent="0.25">
      <c r="A502">
        <v>501</v>
      </c>
      <c r="B502">
        <v>3567</v>
      </c>
      <c r="C502" t="s">
        <v>295</v>
      </c>
    </row>
    <row r="503" spans="1:3" x14ac:dyDescent="0.25">
      <c r="A503">
        <v>502</v>
      </c>
      <c r="B503">
        <v>6114</v>
      </c>
      <c r="C503" t="s">
        <v>296</v>
      </c>
    </row>
    <row r="504" spans="1:3" x14ac:dyDescent="0.25">
      <c r="A504">
        <v>503</v>
      </c>
      <c r="B504">
        <v>6560</v>
      </c>
      <c r="C504" t="s">
        <v>297</v>
      </c>
    </row>
    <row r="505" spans="1:3" x14ac:dyDescent="0.25">
      <c r="A505">
        <v>504</v>
      </c>
      <c r="B505">
        <v>3219</v>
      </c>
      <c r="C505" t="s">
        <v>298</v>
      </c>
    </row>
    <row r="506" spans="1:3" x14ac:dyDescent="0.25">
      <c r="A506">
        <v>505</v>
      </c>
      <c r="B506">
        <v>5299</v>
      </c>
      <c r="C506" t="s">
        <v>299</v>
      </c>
    </row>
    <row r="507" spans="1:3" x14ac:dyDescent="0.25">
      <c r="A507">
        <v>506</v>
      </c>
      <c r="B507">
        <v>6561</v>
      </c>
      <c r="C507" t="s">
        <v>300</v>
      </c>
    </row>
    <row r="508" spans="1:3" x14ac:dyDescent="0.25">
      <c r="A508">
        <v>507</v>
      </c>
      <c r="B508">
        <v>6171</v>
      </c>
      <c r="C508" t="s">
        <v>301</v>
      </c>
    </row>
    <row r="509" spans="1:3" x14ac:dyDescent="0.25">
      <c r="A509">
        <v>508</v>
      </c>
      <c r="B509">
        <v>6716</v>
      </c>
      <c r="C509" t="s">
        <v>302</v>
      </c>
    </row>
    <row r="510" spans="1:3" x14ac:dyDescent="0.25">
      <c r="A510">
        <v>509</v>
      </c>
      <c r="B510">
        <v>4161</v>
      </c>
      <c r="C510" t="s">
        <v>303</v>
      </c>
    </row>
    <row r="511" spans="1:3" x14ac:dyDescent="0.25">
      <c r="A511">
        <v>510</v>
      </c>
      <c r="B511">
        <v>3093</v>
      </c>
      <c r="C511" t="s">
        <v>304</v>
      </c>
    </row>
    <row r="512" spans="1:3" x14ac:dyDescent="0.25">
      <c r="A512">
        <v>511</v>
      </c>
      <c r="B512">
        <v>8433</v>
      </c>
      <c r="C512" t="s">
        <v>305</v>
      </c>
    </row>
    <row r="513" spans="1:3" x14ac:dyDescent="0.25">
      <c r="A513">
        <v>512</v>
      </c>
      <c r="B513">
        <v>6703</v>
      </c>
      <c r="C513" t="s">
        <v>306</v>
      </c>
    </row>
    <row r="514" spans="1:3" x14ac:dyDescent="0.25">
      <c r="A514">
        <v>513</v>
      </c>
      <c r="B514">
        <v>3114</v>
      </c>
      <c r="C514" t="s">
        <v>307</v>
      </c>
    </row>
    <row r="515" spans="1:3" x14ac:dyDescent="0.25">
      <c r="A515">
        <v>514</v>
      </c>
      <c r="B515">
        <v>6727</v>
      </c>
      <c r="C515" t="s">
        <v>308</v>
      </c>
    </row>
    <row r="516" spans="1:3" x14ac:dyDescent="0.25">
      <c r="A516">
        <v>515</v>
      </c>
      <c r="B516">
        <v>8038</v>
      </c>
      <c r="C516" t="s">
        <v>309</v>
      </c>
    </row>
    <row r="517" spans="1:3" x14ac:dyDescent="0.25">
      <c r="A517">
        <v>516</v>
      </c>
      <c r="B517">
        <v>4971</v>
      </c>
      <c r="C517" t="s">
        <v>310</v>
      </c>
    </row>
    <row r="518" spans="1:3" x14ac:dyDescent="0.25">
      <c r="A518">
        <v>517</v>
      </c>
      <c r="B518">
        <v>4550</v>
      </c>
      <c r="C518" t="s">
        <v>311</v>
      </c>
    </row>
    <row r="519" spans="1:3" x14ac:dyDescent="0.25">
      <c r="A519">
        <v>518</v>
      </c>
      <c r="B519">
        <v>3628</v>
      </c>
      <c r="C519" t="s">
        <v>312</v>
      </c>
    </row>
    <row r="520" spans="1:3" x14ac:dyDescent="0.25">
      <c r="A520">
        <v>519</v>
      </c>
      <c r="B520">
        <v>4173</v>
      </c>
      <c r="C520" t="s">
        <v>313</v>
      </c>
    </row>
    <row r="521" spans="1:3" x14ac:dyDescent="0.25">
      <c r="A521">
        <v>520</v>
      </c>
      <c r="B521">
        <v>3709</v>
      </c>
      <c r="C521" t="s">
        <v>314</v>
      </c>
    </row>
    <row r="522" spans="1:3" x14ac:dyDescent="0.25">
      <c r="A522">
        <v>521</v>
      </c>
      <c r="B522">
        <v>4138</v>
      </c>
      <c r="C522" t="s">
        <v>315</v>
      </c>
    </row>
    <row r="523" spans="1:3" x14ac:dyDescent="0.25">
      <c r="A523">
        <v>522</v>
      </c>
      <c r="B523">
        <v>3511</v>
      </c>
      <c r="C523" t="s">
        <v>316</v>
      </c>
    </row>
    <row r="524" spans="1:3" x14ac:dyDescent="0.25">
      <c r="A524">
        <v>523</v>
      </c>
      <c r="B524">
        <v>4120</v>
      </c>
      <c r="C524" t="s">
        <v>317</v>
      </c>
    </row>
    <row r="525" spans="1:3" x14ac:dyDescent="0.25">
      <c r="A525">
        <v>524</v>
      </c>
      <c r="B525">
        <v>8931</v>
      </c>
      <c r="C525" t="s">
        <v>318</v>
      </c>
    </row>
    <row r="526" spans="1:3" x14ac:dyDescent="0.25">
      <c r="A526">
        <v>525</v>
      </c>
      <c r="B526">
        <v>6651</v>
      </c>
      <c r="C526" t="s">
        <v>319</v>
      </c>
    </row>
    <row r="527" spans="1:3" x14ac:dyDescent="0.25">
      <c r="A527">
        <v>526</v>
      </c>
      <c r="B527">
        <v>6417</v>
      </c>
      <c r="C527" t="s">
        <v>320</v>
      </c>
    </row>
    <row r="528" spans="1:3" x14ac:dyDescent="0.25">
      <c r="A528">
        <v>527</v>
      </c>
      <c r="B528">
        <v>6432</v>
      </c>
      <c r="C528" t="s">
        <v>321</v>
      </c>
    </row>
    <row r="529" spans="1:3" x14ac:dyDescent="0.25">
      <c r="A529">
        <v>528</v>
      </c>
      <c r="B529">
        <v>4506</v>
      </c>
      <c r="C529" t="s">
        <v>322</v>
      </c>
    </row>
    <row r="530" spans="1:3" x14ac:dyDescent="0.25">
      <c r="A530">
        <v>529</v>
      </c>
      <c r="B530">
        <v>8074</v>
      </c>
      <c r="C530" t="s">
        <v>323</v>
      </c>
    </row>
    <row r="531" spans="1:3" x14ac:dyDescent="0.25">
      <c r="A531">
        <v>530</v>
      </c>
      <c r="B531">
        <v>5468</v>
      </c>
      <c r="C531" t="s">
        <v>324</v>
      </c>
    </row>
    <row r="532" spans="1:3" x14ac:dyDescent="0.25">
      <c r="A532">
        <v>531</v>
      </c>
      <c r="B532">
        <v>6158</v>
      </c>
      <c r="C532" t="s">
        <v>325</v>
      </c>
    </row>
    <row r="533" spans="1:3" x14ac:dyDescent="0.25">
      <c r="A533">
        <v>532</v>
      </c>
      <c r="B533">
        <v>6510</v>
      </c>
      <c r="C533" t="s">
        <v>326</v>
      </c>
    </row>
    <row r="534" spans="1:3" x14ac:dyDescent="0.25">
      <c r="A534">
        <v>533</v>
      </c>
      <c r="B534">
        <v>4924</v>
      </c>
      <c r="C534" t="s">
        <v>327</v>
      </c>
    </row>
    <row r="535" spans="1:3" x14ac:dyDescent="0.25">
      <c r="A535">
        <v>534</v>
      </c>
      <c r="B535">
        <v>3152</v>
      </c>
      <c r="C535" t="s">
        <v>328</v>
      </c>
    </row>
    <row r="536" spans="1:3" x14ac:dyDescent="0.25">
      <c r="A536">
        <v>535</v>
      </c>
      <c r="B536">
        <v>5460</v>
      </c>
      <c r="C536" t="s">
        <v>329</v>
      </c>
    </row>
    <row r="537" spans="1:3" x14ac:dyDescent="0.25">
      <c r="A537">
        <v>536</v>
      </c>
      <c r="B537">
        <v>8924</v>
      </c>
      <c r="C537" t="s">
        <v>330</v>
      </c>
    </row>
    <row r="538" spans="1:3" x14ac:dyDescent="0.25">
      <c r="A538">
        <v>537</v>
      </c>
      <c r="B538">
        <v>6612</v>
      </c>
      <c r="C538" t="s">
        <v>331</v>
      </c>
    </row>
    <row r="539" spans="1:3" x14ac:dyDescent="0.25">
      <c r="A539">
        <v>538</v>
      </c>
      <c r="B539">
        <v>6465</v>
      </c>
      <c r="C539" t="s">
        <v>332</v>
      </c>
    </row>
    <row r="540" spans="1:3" x14ac:dyDescent="0.25">
      <c r="A540">
        <v>539</v>
      </c>
      <c r="B540">
        <v>1565</v>
      </c>
      <c r="C540" t="s">
        <v>333</v>
      </c>
    </row>
    <row r="541" spans="1:3" x14ac:dyDescent="0.25">
      <c r="A541">
        <v>540</v>
      </c>
      <c r="B541">
        <v>3685</v>
      </c>
      <c r="C541" t="s">
        <v>334</v>
      </c>
    </row>
    <row r="542" spans="1:3" x14ac:dyDescent="0.25">
      <c r="A542">
        <v>541</v>
      </c>
      <c r="B542">
        <v>6894</v>
      </c>
      <c r="C542" t="s">
        <v>335</v>
      </c>
    </row>
    <row r="543" spans="1:3" x14ac:dyDescent="0.25">
      <c r="A543">
        <v>542</v>
      </c>
      <c r="B543">
        <v>3713</v>
      </c>
      <c r="C543" t="s">
        <v>336</v>
      </c>
    </row>
    <row r="544" spans="1:3" x14ac:dyDescent="0.25">
      <c r="A544">
        <v>543</v>
      </c>
      <c r="B544">
        <v>3252</v>
      </c>
      <c r="C544" t="s">
        <v>337</v>
      </c>
    </row>
    <row r="545" spans="1:3" x14ac:dyDescent="0.25">
      <c r="A545">
        <v>544</v>
      </c>
      <c r="B545">
        <v>5344</v>
      </c>
      <c r="C545" t="s">
        <v>338</v>
      </c>
    </row>
    <row r="546" spans="1:3" x14ac:dyDescent="0.25">
      <c r="A546">
        <v>545</v>
      </c>
      <c r="B546">
        <v>5464</v>
      </c>
      <c r="C546" t="s">
        <v>339</v>
      </c>
    </row>
    <row r="547" spans="1:3" x14ac:dyDescent="0.25">
      <c r="A547">
        <v>546</v>
      </c>
      <c r="B547">
        <v>6199</v>
      </c>
      <c r="C547" t="s">
        <v>340</v>
      </c>
    </row>
    <row r="548" spans="1:3" x14ac:dyDescent="0.25">
      <c r="A548">
        <v>547</v>
      </c>
      <c r="B548">
        <v>4432</v>
      </c>
      <c r="C548" t="s">
        <v>341</v>
      </c>
    </row>
    <row r="549" spans="1:3" x14ac:dyDescent="0.25">
      <c r="A549">
        <v>548</v>
      </c>
      <c r="B549">
        <v>6922</v>
      </c>
      <c r="C549" t="s">
        <v>342</v>
      </c>
    </row>
    <row r="550" spans="1:3" x14ac:dyDescent="0.25">
      <c r="A550">
        <v>549</v>
      </c>
      <c r="B550">
        <v>4804</v>
      </c>
      <c r="C550" t="s">
        <v>343</v>
      </c>
    </row>
    <row r="551" spans="1:3" x14ac:dyDescent="0.25">
      <c r="A551">
        <v>550</v>
      </c>
      <c r="B551">
        <v>4538</v>
      </c>
      <c r="C551" t="s">
        <v>344</v>
      </c>
    </row>
    <row r="552" spans="1:3" x14ac:dyDescent="0.25">
      <c r="A552">
        <v>551</v>
      </c>
      <c r="B552">
        <v>6693</v>
      </c>
      <c r="C552" t="s">
        <v>345</v>
      </c>
    </row>
    <row r="553" spans="1:3" x14ac:dyDescent="0.25">
      <c r="A553">
        <v>552</v>
      </c>
      <c r="B553">
        <v>5312</v>
      </c>
      <c r="C553" t="s">
        <v>346</v>
      </c>
    </row>
    <row r="554" spans="1:3" x14ac:dyDescent="0.25">
      <c r="A554">
        <v>553</v>
      </c>
      <c r="B554">
        <v>4995</v>
      </c>
      <c r="C554" t="s">
        <v>347</v>
      </c>
    </row>
    <row r="555" spans="1:3" x14ac:dyDescent="0.25">
      <c r="A555">
        <v>554</v>
      </c>
      <c r="B555">
        <v>2643</v>
      </c>
      <c r="C555" t="s">
        <v>348</v>
      </c>
    </row>
    <row r="556" spans="1:3" x14ac:dyDescent="0.25">
      <c r="A556">
        <v>555</v>
      </c>
      <c r="B556">
        <v>8240</v>
      </c>
      <c r="C556" t="s">
        <v>349</v>
      </c>
    </row>
    <row r="557" spans="1:3" x14ac:dyDescent="0.25">
      <c r="A557">
        <v>556</v>
      </c>
      <c r="B557">
        <v>6637</v>
      </c>
      <c r="C557" t="s">
        <v>350</v>
      </c>
    </row>
    <row r="558" spans="1:3" x14ac:dyDescent="0.25">
      <c r="A558">
        <v>557</v>
      </c>
      <c r="B558">
        <v>4905</v>
      </c>
      <c r="C558" t="s">
        <v>351</v>
      </c>
    </row>
    <row r="559" spans="1:3" x14ac:dyDescent="0.25">
      <c r="A559">
        <v>558</v>
      </c>
      <c r="B559">
        <v>6523</v>
      </c>
      <c r="C559" t="s">
        <v>352</v>
      </c>
    </row>
    <row r="560" spans="1:3" x14ac:dyDescent="0.25">
      <c r="A560">
        <v>559</v>
      </c>
      <c r="B560">
        <v>2065</v>
      </c>
      <c r="C560" t="s">
        <v>353</v>
      </c>
    </row>
    <row r="561" spans="1:3" x14ac:dyDescent="0.25">
      <c r="A561">
        <v>560</v>
      </c>
      <c r="B561">
        <v>6690</v>
      </c>
      <c r="C561" t="s">
        <v>354</v>
      </c>
    </row>
    <row r="562" spans="1:3" x14ac:dyDescent="0.25">
      <c r="A562">
        <v>561</v>
      </c>
      <c r="B562">
        <v>5514</v>
      </c>
      <c r="C562" t="s">
        <v>355</v>
      </c>
    </row>
    <row r="563" spans="1:3" x14ac:dyDescent="0.25">
      <c r="A563">
        <v>562</v>
      </c>
      <c r="B563">
        <v>4126</v>
      </c>
      <c r="C563" t="s">
        <v>356</v>
      </c>
    </row>
    <row r="564" spans="1:3" x14ac:dyDescent="0.25">
      <c r="A564">
        <v>563</v>
      </c>
      <c r="B564">
        <v>6241</v>
      </c>
      <c r="C564" t="s">
        <v>357</v>
      </c>
    </row>
    <row r="565" spans="1:3" x14ac:dyDescent="0.25">
      <c r="A565">
        <v>564</v>
      </c>
      <c r="B565">
        <v>8024</v>
      </c>
      <c r="C565" t="s">
        <v>358</v>
      </c>
    </row>
    <row r="566" spans="1:3" x14ac:dyDescent="0.25">
      <c r="A566">
        <v>565</v>
      </c>
      <c r="B566">
        <v>6246</v>
      </c>
      <c r="C566" t="s">
        <v>359</v>
      </c>
    </row>
    <row r="567" spans="1:3" x14ac:dyDescent="0.25">
      <c r="A567">
        <v>566</v>
      </c>
      <c r="B567">
        <v>5487</v>
      </c>
      <c r="C567" t="s">
        <v>360</v>
      </c>
    </row>
    <row r="568" spans="1:3" x14ac:dyDescent="0.25">
      <c r="A568">
        <v>567</v>
      </c>
      <c r="B568">
        <v>5321</v>
      </c>
      <c r="C568" t="s">
        <v>361</v>
      </c>
    </row>
    <row r="569" spans="1:3" x14ac:dyDescent="0.25">
      <c r="A569">
        <v>568</v>
      </c>
      <c r="B569">
        <v>4728</v>
      </c>
      <c r="C569" t="s">
        <v>362</v>
      </c>
    </row>
    <row r="570" spans="1:3" x14ac:dyDescent="0.25">
      <c r="A570">
        <v>569</v>
      </c>
      <c r="B570">
        <v>9951</v>
      </c>
      <c r="C570" t="s">
        <v>363</v>
      </c>
    </row>
    <row r="571" spans="1:3" x14ac:dyDescent="0.25">
      <c r="A571">
        <v>570</v>
      </c>
      <c r="B571">
        <v>4580</v>
      </c>
      <c r="C571" t="s">
        <v>364</v>
      </c>
    </row>
    <row r="572" spans="1:3" x14ac:dyDescent="0.25">
      <c r="A572">
        <v>571</v>
      </c>
      <c r="B572">
        <v>6294</v>
      </c>
      <c r="C572" t="s">
        <v>365</v>
      </c>
    </row>
    <row r="573" spans="1:3" x14ac:dyDescent="0.25">
      <c r="A573">
        <v>572</v>
      </c>
      <c r="B573">
        <v>3556</v>
      </c>
      <c r="C573" t="s">
        <v>366</v>
      </c>
    </row>
    <row r="574" spans="1:3" x14ac:dyDescent="0.25">
      <c r="A574">
        <v>573</v>
      </c>
      <c r="B574">
        <v>6446</v>
      </c>
      <c r="C574" t="s">
        <v>367</v>
      </c>
    </row>
    <row r="575" spans="1:3" x14ac:dyDescent="0.25">
      <c r="A575">
        <v>574</v>
      </c>
      <c r="B575">
        <v>3541</v>
      </c>
      <c r="C575" t="s">
        <v>368</v>
      </c>
    </row>
    <row r="576" spans="1:3" x14ac:dyDescent="0.25">
      <c r="A576">
        <v>575</v>
      </c>
      <c r="B576">
        <v>8437</v>
      </c>
      <c r="C576" t="s">
        <v>369</v>
      </c>
    </row>
    <row r="577" spans="1:3" x14ac:dyDescent="0.25">
      <c r="A577">
        <v>576</v>
      </c>
      <c r="B577">
        <v>5516</v>
      </c>
      <c r="C577" t="s">
        <v>370</v>
      </c>
    </row>
    <row r="578" spans="1:3" x14ac:dyDescent="0.25">
      <c r="A578">
        <v>577</v>
      </c>
      <c r="B578">
        <v>4702</v>
      </c>
      <c r="C578" t="s">
        <v>371</v>
      </c>
    </row>
    <row r="579" spans="1:3" x14ac:dyDescent="0.25">
      <c r="A579">
        <v>578</v>
      </c>
      <c r="B579">
        <v>4991</v>
      </c>
      <c r="C579" t="s">
        <v>372</v>
      </c>
    </row>
    <row r="580" spans="1:3" x14ac:dyDescent="0.25">
      <c r="A580">
        <v>579</v>
      </c>
      <c r="B580">
        <v>3672</v>
      </c>
      <c r="C580" t="s">
        <v>373</v>
      </c>
    </row>
    <row r="581" spans="1:3" x14ac:dyDescent="0.25">
      <c r="A581">
        <v>580</v>
      </c>
      <c r="B581">
        <v>6661</v>
      </c>
      <c r="C581" t="s">
        <v>374</v>
      </c>
    </row>
    <row r="582" spans="1:3" x14ac:dyDescent="0.25">
      <c r="A582">
        <v>581</v>
      </c>
      <c r="B582">
        <v>8080</v>
      </c>
      <c r="C582" t="s">
        <v>375</v>
      </c>
    </row>
    <row r="583" spans="1:3" x14ac:dyDescent="0.25">
      <c r="A583">
        <v>582</v>
      </c>
      <c r="B583">
        <v>8450</v>
      </c>
      <c r="C583" t="s">
        <v>376</v>
      </c>
    </row>
    <row r="584" spans="1:3" x14ac:dyDescent="0.25">
      <c r="A584">
        <v>583</v>
      </c>
      <c r="B584">
        <v>8423</v>
      </c>
      <c r="C584" t="s">
        <v>377</v>
      </c>
    </row>
    <row r="585" spans="1:3" x14ac:dyDescent="0.25">
      <c r="A585">
        <v>584</v>
      </c>
      <c r="B585">
        <v>3527</v>
      </c>
      <c r="C585" t="s">
        <v>378</v>
      </c>
    </row>
    <row r="586" spans="1:3" x14ac:dyDescent="0.25">
      <c r="A586">
        <v>585</v>
      </c>
      <c r="B586">
        <v>3095</v>
      </c>
      <c r="C586" t="s">
        <v>379</v>
      </c>
    </row>
    <row r="587" spans="1:3" x14ac:dyDescent="0.25">
      <c r="A587">
        <v>586</v>
      </c>
      <c r="B587">
        <v>3272</v>
      </c>
      <c r="C587" t="s">
        <v>380</v>
      </c>
    </row>
    <row r="588" spans="1:3" x14ac:dyDescent="0.25">
      <c r="A588">
        <v>587</v>
      </c>
      <c r="B588">
        <v>6240</v>
      </c>
      <c r="C588" t="s">
        <v>381</v>
      </c>
    </row>
    <row r="589" spans="1:3" x14ac:dyDescent="0.25">
      <c r="A589">
        <v>588</v>
      </c>
      <c r="B589">
        <v>1268</v>
      </c>
      <c r="C589" t="s">
        <v>382</v>
      </c>
    </row>
    <row r="590" spans="1:3" x14ac:dyDescent="0.25">
      <c r="A590">
        <v>589</v>
      </c>
      <c r="B590">
        <v>6629</v>
      </c>
      <c r="C590" t="s">
        <v>383</v>
      </c>
    </row>
    <row r="591" spans="1:3" x14ac:dyDescent="0.25">
      <c r="A591">
        <v>590</v>
      </c>
      <c r="B591">
        <v>8109</v>
      </c>
      <c r="C591" t="s">
        <v>384</v>
      </c>
    </row>
    <row r="592" spans="1:3" x14ac:dyDescent="0.25">
      <c r="A592">
        <v>591</v>
      </c>
      <c r="B592">
        <v>2729</v>
      </c>
      <c r="C592" t="s">
        <v>385</v>
      </c>
    </row>
    <row r="593" spans="1:3" x14ac:dyDescent="0.25">
      <c r="A593">
        <v>592</v>
      </c>
      <c r="B593">
        <v>6499</v>
      </c>
      <c r="C593" t="s">
        <v>386</v>
      </c>
    </row>
    <row r="594" spans="1:3" x14ac:dyDescent="0.25">
      <c r="A594">
        <v>593</v>
      </c>
      <c r="B594">
        <v>1580</v>
      </c>
      <c r="C594" t="s">
        <v>387</v>
      </c>
    </row>
    <row r="595" spans="1:3" x14ac:dyDescent="0.25">
      <c r="A595">
        <v>594</v>
      </c>
      <c r="B595">
        <v>6953</v>
      </c>
      <c r="C595" t="s">
        <v>388</v>
      </c>
    </row>
    <row r="596" spans="1:3" x14ac:dyDescent="0.25">
      <c r="A596">
        <v>595</v>
      </c>
      <c r="B596">
        <v>2754</v>
      </c>
      <c r="C596" t="s">
        <v>389</v>
      </c>
    </row>
    <row r="597" spans="1:3" x14ac:dyDescent="0.25">
      <c r="A597">
        <v>596</v>
      </c>
      <c r="B597">
        <v>6123</v>
      </c>
      <c r="C597" t="s">
        <v>390</v>
      </c>
    </row>
    <row r="598" spans="1:3" x14ac:dyDescent="0.25">
      <c r="A598">
        <v>597</v>
      </c>
      <c r="B598">
        <v>4116</v>
      </c>
      <c r="C598" t="s">
        <v>391</v>
      </c>
    </row>
    <row r="599" spans="1:3" x14ac:dyDescent="0.25">
      <c r="A599">
        <v>598</v>
      </c>
      <c r="B599">
        <v>5604</v>
      </c>
      <c r="C599" t="s">
        <v>392</v>
      </c>
    </row>
    <row r="600" spans="1:3" x14ac:dyDescent="0.25">
      <c r="A600">
        <v>599</v>
      </c>
      <c r="B600">
        <v>1742</v>
      </c>
      <c r="C600" t="s">
        <v>393</v>
      </c>
    </row>
    <row r="601" spans="1:3" x14ac:dyDescent="0.25">
      <c r="A601">
        <v>600</v>
      </c>
      <c r="B601">
        <v>3611</v>
      </c>
      <c r="C601" t="s">
        <v>394</v>
      </c>
    </row>
    <row r="602" spans="1:3" x14ac:dyDescent="0.25">
      <c r="A602">
        <v>601</v>
      </c>
      <c r="B602">
        <v>4754</v>
      </c>
      <c r="C602" t="s">
        <v>395</v>
      </c>
    </row>
    <row r="603" spans="1:3" x14ac:dyDescent="0.25">
      <c r="A603">
        <v>602</v>
      </c>
      <c r="B603">
        <v>6130</v>
      </c>
      <c r="C603" t="s">
        <v>396</v>
      </c>
    </row>
    <row r="604" spans="1:3" x14ac:dyDescent="0.25">
      <c r="A604">
        <v>603</v>
      </c>
      <c r="B604">
        <v>4413</v>
      </c>
      <c r="C604" t="s">
        <v>397</v>
      </c>
    </row>
    <row r="605" spans="1:3" x14ac:dyDescent="0.25">
      <c r="A605">
        <v>604</v>
      </c>
      <c r="B605">
        <v>5438</v>
      </c>
      <c r="C605" t="s">
        <v>398</v>
      </c>
    </row>
    <row r="606" spans="1:3" x14ac:dyDescent="0.25">
      <c r="A606">
        <v>605</v>
      </c>
      <c r="B606">
        <v>9949</v>
      </c>
      <c r="C606" t="s">
        <v>399</v>
      </c>
    </row>
    <row r="607" spans="1:3" x14ac:dyDescent="0.25">
      <c r="A607">
        <v>606</v>
      </c>
      <c r="B607">
        <v>6222</v>
      </c>
      <c r="C607" t="s">
        <v>400</v>
      </c>
    </row>
    <row r="608" spans="1:3" x14ac:dyDescent="0.25">
      <c r="A608">
        <v>607</v>
      </c>
      <c r="B608">
        <v>8929</v>
      </c>
      <c r="C608" t="s">
        <v>401</v>
      </c>
    </row>
    <row r="609" spans="1:3" x14ac:dyDescent="0.25">
      <c r="A609">
        <v>608</v>
      </c>
      <c r="B609">
        <v>8905</v>
      </c>
      <c r="C609" t="s">
        <v>402</v>
      </c>
    </row>
    <row r="610" spans="1:3" x14ac:dyDescent="0.25">
      <c r="A610">
        <v>609</v>
      </c>
      <c r="B610">
        <v>6568</v>
      </c>
      <c r="C610" t="s">
        <v>403</v>
      </c>
    </row>
    <row r="611" spans="1:3" x14ac:dyDescent="0.25">
      <c r="A611">
        <v>610</v>
      </c>
      <c r="B611">
        <v>6903</v>
      </c>
      <c r="C611" t="s">
        <v>404</v>
      </c>
    </row>
    <row r="612" spans="1:3" x14ac:dyDescent="0.25">
      <c r="A612">
        <v>611</v>
      </c>
      <c r="B612">
        <v>8928</v>
      </c>
      <c r="C612" t="s">
        <v>405</v>
      </c>
    </row>
    <row r="613" spans="1:3" x14ac:dyDescent="0.25">
      <c r="A613">
        <v>612</v>
      </c>
      <c r="B613">
        <v>3118</v>
      </c>
      <c r="C613" t="s">
        <v>406</v>
      </c>
    </row>
    <row r="614" spans="1:3" x14ac:dyDescent="0.25">
      <c r="A614">
        <v>613</v>
      </c>
      <c r="B614">
        <v>5209</v>
      </c>
      <c r="C614" t="s">
        <v>407</v>
      </c>
    </row>
    <row r="615" spans="1:3" x14ac:dyDescent="0.25">
      <c r="A615">
        <v>614</v>
      </c>
      <c r="B615">
        <v>8083</v>
      </c>
      <c r="C615" t="s">
        <v>408</v>
      </c>
    </row>
    <row r="616" spans="1:3" x14ac:dyDescent="0.25">
      <c r="A616">
        <v>615</v>
      </c>
      <c r="B616">
        <v>6291</v>
      </c>
      <c r="C616" t="s">
        <v>409</v>
      </c>
    </row>
    <row r="617" spans="1:3" x14ac:dyDescent="0.25">
      <c r="A617">
        <v>616</v>
      </c>
      <c r="B617">
        <v>4735</v>
      </c>
      <c r="C617" t="s">
        <v>410</v>
      </c>
    </row>
    <row r="618" spans="1:3" x14ac:dyDescent="0.25">
      <c r="A618">
        <v>617</v>
      </c>
      <c r="B618">
        <v>6588</v>
      </c>
      <c r="C618" t="s">
        <v>411</v>
      </c>
    </row>
    <row r="619" spans="1:3" x14ac:dyDescent="0.25">
      <c r="A619">
        <v>618</v>
      </c>
      <c r="B619">
        <v>4527</v>
      </c>
      <c r="C619" t="s">
        <v>412</v>
      </c>
    </row>
    <row r="620" spans="1:3" x14ac:dyDescent="0.25">
      <c r="A620">
        <v>619</v>
      </c>
      <c r="B620">
        <v>4183</v>
      </c>
      <c r="C620" t="s">
        <v>413</v>
      </c>
    </row>
    <row r="621" spans="1:3" x14ac:dyDescent="0.25">
      <c r="A621">
        <v>620</v>
      </c>
      <c r="B621">
        <v>3570</v>
      </c>
      <c r="C621" t="s">
        <v>414</v>
      </c>
    </row>
    <row r="622" spans="1:3" x14ac:dyDescent="0.25">
      <c r="A622">
        <v>621</v>
      </c>
      <c r="B622">
        <v>6169</v>
      </c>
      <c r="C622" t="s">
        <v>415</v>
      </c>
    </row>
    <row r="623" spans="1:3" x14ac:dyDescent="0.25">
      <c r="A623">
        <v>622</v>
      </c>
      <c r="B623">
        <v>6752</v>
      </c>
      <c r="C623" t="s">
        <v>416</v>
      </c>
    </row>
    <row r="624" spans="1:3" x14ac:dyDescent="0.25">
      <c r="A624">
        <v>623</v>
      </c>
      <c r="B624">
        <v>3646</v>
      </c>
      <c r="C624" t="s">
        <v>417</v>
      </c>
    </row>
    <row r="625" spans="1:3" x14ac:dyDescent="0.25">
      <c r="A625">
        <v>624</v>
      </c>
      <c r="B625">
        <v>6556</v>
      </c>
      <c r="C625" t="s">
        <v>418</v>
      </c>
    </row>
    <row r="626" spans="1:3" x14ac:dyDescent="0.25">
      <c r="A626">
        <v>625</v>
      </c>
      <c r="B626">
        <v>1777</v>
      </c>
      <c r="C626" t="s">
        <v>419</v>
      </c>
    </row>
    <row r="627" spans="1:3" x14ac:dyDescent="0.25">
      <c r="A627">
        <v>626</v>
      </c>
      <c r="B627">
        <v>4923</v>
      </c>
      <c r="C627" t="s">
        <v>420</v>
      </c>
    </row>
    <row r="628" spans="1:3" x14ac:dyDescent="0.25">
      <c r="A628">
        <v>627</v>
      </c>
      <c r="B628">
        <v>8435</v>
      </c>
      <c r="C628" t="s">
        <v>421</v>
      </c>
    </row>
    <row r="629" spans="1:3" x14ac:dyDescent="0.25">
      <c r="A629">
        <v>628</v>
      </c>
      <c r="B629">
        <v>2719</v>
      </c>
      <c r="C629" t="s">
        <v>422</v>
      </c>
    </row>
    <row r="630" spans="1:3" x14ac:dyDescent="0.25">
      <c r="A630">
        <v>629</v>
      </c>
      <c r="B630">
        <v>5291</v>
      </c>
      <c r="C630" t="s">
        <v>423</v>
      </c>
    </row>
    <row r="631" spans="1:3" x14ac:dyDescent="0.25">
      <c r="A631">
        <v>630</v>
      </c>
      <c r="B631">
        <v>2718</v>
      </c>
      <c r="C631" t="s">
        <v>424</v>
      </c>
    </row>
    <row r="632" spans="1:3" x14ac:dyDescent="0.25">
      <c r="A632">
        <v>631</v>
      </c>
      <c r="B632">
        <v>6508</v>
      </c>
      <c r="C632" t="s">
        <v>425</v>
      </c>
    </row>
    <row r="633" spans="1:3" x14ac:dyDescent="0.25">
      <c r="A633">
        <v>632</v>
      </c>
      <c r="B633">
        <v>6482</v>
      </c>
      <c r="C633" t="s">
        <v>426</v>
      </c>
    </row>
    <row r="634" spans="1:3" x14ac:dyDescent="0.25">
      <c r="A634">
        <v>633</v>
      </c>
      <c r="B634">
        <v>3388</v>
      </c>
      <c r="C634" t="s">
        <v>427</v>
      </c>
    </row>
    <row r="635" spans="1:3" x14ac:dyDescent="0.25">
      <c r="A635">
        <v>634</v>
      </c>
      <c r="B635">
        <v>4535</v>
      </c>
      <c r="C635" t="s">
        <v>428</v>
      </c>
    </row>
    <row r="636" spans="1:3" x14ac:dyDescent="0.25">
      <c r="A636">
        <v>635</v>
      </c>
      <c r="B636">
        <v>6514</v>
      </c>
      <c r="C636" t="s">
        <v>429</v>
      </c>
    </row>
    <row r="637" spans="1:3" x14ac:dyDescent="0.25">
      <c r="A637">
        <v>636</v>
      </c>
      <c r="B637">
        <v>3288</v>
      </c>
      <c r="C637" t="s">
        <v>430</v>
      </c>
    </row>
    <row r="638" spans="1:3" x14ac:dyDescent="0.25">
      <c r="A638">
        <v>637</v>
      </c>
      <c r="B638">
        <v>4417</v>
      </c>
      <c r="C638" t="s">
        <v>431</v>
      </c>
    </row>
    <row r="639" spans="1:3" x14ac:dyDescent="0.25">
      <c r="A639">
        <v>638</v>
      </c>
      <c r="B639">
        <v>5701</v>
      </c>
      <c r="C639" t="s">
        <v>432</v>
      </c>
    </row>
    <row r="640" spans="1:3" x14ac:dyDescent="0.25">
      <c r="A640">
        <v>639</v>
      </c>
      <c r="B640">
        <v>4706</v>
      </c>
      <c r="C640" t="s">
        <v>433</v>
      </c>
    </row>
    <row r="641" spans="1:3" x14ac:dyDescent="0.25">
      <c r="A641">
        <v>640</v>
      </c>
      <c r="B641">
        <v>2640</v>
      </c>
      <c r="C641" t="s">
        <v>434</v>
      </c>
    </row>
    <row r="642" spans="1:3" x14ac:dyDescent="0.25">
      <c r="A642">
        <v>641</v>
      </c>
      <c r="B642">
        <v>4554</v>
      </c>
      <c r="C642" t="s">
        <v>435</v>
      </c>
    </row>
    <row r="643" spans="1:3" x14ac:dyDescent="0.25">
      <c r="A643">
        <v>642</v>
      </c>
      <c r="B643">
        <v>6642</v>
      </c>
      <c r="C643" t="s">
        <v>436</v>
      </c>
    </row>
    <row r="644" spans="1:3" x14ac:dyDescent="0.25">
      <c r="A644">
        <v>643</v>
      </c>
      <c r="B644">
        <v>6506</v>
      </c>
      <c r="C644" t="s">
        <v>437</v>
      </c>
    </row>
    <row r="645" spans="1:3" x14ac:dyDescent="0.25">
      <c r="A645">
        <v>644</v>
      </c>
      <c r="B645">
        <v>4558</v>
      </c>
      <c r="C645" t="s">
        <v>438</v>
      </c>
    </row>
    <row r="646" spans="1:3" x14ac:dyDescent="0.25">
      <c r="A646">
        <v>645</v>
      </c>
      <c r="B646">
        <v>1796</v>
      </c>
      <c r="C646" t="s">
        <v>439</v>
      </c>
    </row>
    <row r="647" spans="1:3" x14ac:dyDescent="0.25">
      <c r="A647">
        <v>646</v>
      </c>
      <c r="B647">
        <v>8409</v>
      </c>
      <c r="C647" t="s">
        <v>440</v>
      </c>
    </row>
    <row r="648" spans="1:3" x14ac:dyDescent="0.25">
      <c r="A648">
        <v>647</v>
      </c>
      <c r="B648">
        <v>6804</v>
      </c>
      <c r="C648" t="s">
        <v>441</v>
      </c>
    </row>
    <row r="649" spans="1:3" x14ac:dyDescent="0.25">
      <c r="A649">
        <v>648</v>
      </c>
      <c r="B649">
        <v>6870</v>
      </c>
      <c r="C649" t="s">
        <v>442</v>
      </c>
    </row>
    <row r="650" spans="1:3" x14ac:dyDescent="0.25">
      <c r="A650">
        <v>649</v>
      </c>
      <c r="B650">
        <v>6496</v>
      </c>
      <c r="C650" t="s">
        <v>443</v>
      </c>
    </row>
    <row r="651" spans="1:3" x14ac:dyDescent="0.25">
      <c r="A651">
        <v>650</v>
      </c>
      <c r="B651">
        <v>5301</v>
      </c>
      <c r="C651" t="s">
        <v>444</v>
      </c>
    </row>
    <row r="652" spans="1:3" x14ac:dyDescent="0.25">
      <c r="A652">
        <v>651</v>
      </c>
      <c r="B652">
        <v>3555</v>
      </c>
      <c r="C652" t="s">
        <v>445</v>
      </c>
    </row>
    <row r="653" spans="1:3" x14ac:dyDescent="0.25">
      <c r="A653">
        <v>652</v>
      </c>
      <c r="B653">
        <v>5903</v>
      </c>
      <c r="C653" t="s">
        <v>446</v>
      </c>
    </row>
    <row r="654" spans="1:3" x14ac:dyDescent="0.25">
      <c r="A654">
        <v>653</v>
      </c>
      <c r="B654">
        <v>4304</v>
      </c>
      <c r="C654" t="s">
        <v>447</v>
      </c>
    </row>
    <row r="655" spans="1:3" x14ac:dyDescent="0.25">
      <c r="A655">
        <v>654</v>
      </c>
      <c r="B655">
        <v>5287</v>
      </c>
      <c r="C655" t="s">
        <v>448</v>
      </c>
    </row>
    <row r="656" spans="1:3" x14ac:dyDescent="0.25">
      <c r="A656">
        <v>655</v>
      </c>
      <c r="B656">
        <v>6697</v>
      </c>
      <c r="C656" t="s">
        <v>449</v>
      </c>
    </row>
    <row r="657" spans="1:3" x14ac:dyDescent="0.25">
      <c r="A657">
        <v>656</v>
      </c>
      <c r="B657">
        <v>3577</v>
      </c>
      <c r="C657" t="s">
        <v>450</v>
      </c>
    </row>
    <row r="658" spans="1:3" x14ac:dyDescent="0.25">
      <c r="A658">
        <v>657</v>
      </c>
      <c r="B658">
        <v>6874</v>
      </c>
      <c r="C658" t="s">
        <v>451</v>
      </c>
    </row>
    <row r="659" spans="1:3" x14ac:dyDescent="0.25">
      <c r="A659">
        <v>658</v>
      </c>
      <c r="B659">
        <v>3259</v>
      </c>
      <c r="C659" t="s">
        <v>452</v>
      </c>
    </row>
    <row r="660" spans="1:3" x14ac:dyDescent="0.25">
      <c r="A660">
        <v>659</v>
      </c>
      <c r="B660">
        <v>6174</v>
      </c>
      <c r="C660" t="s">
        <v>453</v>
      </c>
    </row>
    <row r="661" spans="1:3" x14ac:dyDescent="0.25">
      <c r="A661">
        <v>660</v>
      </c>
      <c r="B661">
        <v>6259</v>
      </c>
      <c r="C661" t="s">
        <v>454</v>
      </c>
    </row>
    <row r="662" spans="1:3" x14ac:dyDescent="0.25">
      <c r="A662">
        <v>661</v>
      </c>
      <c r="B662">
        <v>4406</v>
      </c>
      <c r="C662" t="s">
        <v>455</v>
      </c>
    </row>
    <row r="663" spans="1:3" x14ac:dyDescent="0.25">
      <c r="A663">
        <v>662</v>
      </c>
      <c r="B663">
        <v>5015</v>
      </c>
      <c r="C663" t="s">
        <v>456</v>
      </c>
    </row>
    <row r="664" spans="1:3" x14ac:dyDescent="0.25">
      <c r="A664">
        <v>663</v>
      </c>
      <c r="B664">
        <v>2063</v>
      </c>
      <c r="C664" t="s">
        <v>457</v>
      </c>
    </row>
    <row r="665" spans="1:3" x14ac:dyDescent="0.25">
      <c r="A665">
        <v>664</v>
      </c>
      <c r="B665">
        <v>1595</v>
      </c>
      <c r="C665" t="s">
        <v>458</v>
      </c>
    </row>
    <row r="666" spans="1:3" x14ac:dyDescent="0.25">
      <c r="A666">
        <v>665</v>
      </c>
      <c r="B666">
        <v>4972</v>
      </c>
      <c r="C666" t="s">
        <v>459</v>
      </c>
    </row>
    <row r="667" spans="1:3" x14ac:dyDescent="0.25">
      <c r="A667">
        <v>666</v>
      </c>
      <c r="B667">
        <v>5704</v>
      </c>
      <c r="C667" t="s">
        <v>460</v>
      </c>
    </row>
    <row r="668" spans="1:3" x14ac:dyDescent="0.25">
      <c r="A668">
        <v>667</v>
      </c>
      <c r="B668">
        <v>4163</v>
      </c>
      <c r="C668" t="s">
        <v>461</v>
      </c>
    </row>
    <row r="669" spans="1:3" x14ac:dyDescent="0.25">
      <c r="A669">
        <v>668</v>
      </c>
      <c r="B669">
        <v>6512</v>
      </c>
      <c r="C669" t="s">
        <v>462</v>
      </c>
    </row>
    <row r="670" spans="1:3" x14ac:dyDescent="0.25">
      <c r="A670">
        <v>669</v>
      </c>
      <c r="B670">
        <v>5548</v>
      </c>
      <c r="C670" t="s">
        <v>463</v>
      </c>
    </row>
    <row r="671" spans="1:3" x14ac:dyDescent="0.25">
      <c r="A671">
        <v>670</v>
      </c>
      <c r="B671">
        <v>5489</v>
      </c>
      <c r="C671" t="s">
        <v>464</v>
      </c>
    </row>
    <row r="672" spans="1:3" x14ac:dyDescent="0.25">
      <c r="A672">
        <v>671</v>
      </c>
      <c r="B672">
        <v>4198</v>
      </c>
      <c r="C672" t="s">
        <v>465</v>
      </c>
    </row>
    <row r="673" spans="1:3" x14ac:dyDescent="0.25">
      <c r="A673">
        <v>672</v>
      </c>
      <c r="B673">
        <v>4741</v>
      </c>
      <c r="C673" t="s">
        <v>466</v>
      </c>
    </row>
    <row r="674" spans="1:3" x14ac:dyDescent="0.25">
      <c r="A674">
        <v>673</v>
      </c>
      <c r="B674">
        <v>6803</v>
      </c>
      <c r="C674" t="s">
        <v>467</v>
      </c>
    </row>
    <row r="675" spans="1:3" x14ac:dyDescent="0.25">
      <c r="A675">
        <v>674</v>
      </c>
      <c r="B675">
        <v>6821</v>
      </c>
      <c r="C675" t="s">
        <v>468</v>
      </c>
    </row>
    <row r="676" spans="1:3" x14ac:dyDescent="0.25">
      <c r="A676">
        <v>675</v>
      </c>
      <c r="B676">
        <v>5245</v>
      </c>
      <c r="C676" t="s">
        <v>469</v>
      </c>
    </row>
    <row r="677" spans="1:3" x14ac:dyDescent="0.25">
      <c r="A677">
        <v>676</v>
      </c>
      <c r="B677">
        <v>5703</v>
      </c>
      <c r="C677" t="s">
        <v>470</v>
      </c>
    </row>
    <row r="678" spans="1:3" x14ac:dyDescent="0.25">
      <c r="A678">
        <v>677</v>
      </c>
      <c r="B678">
        <v>3523</v>
      </c>
      <c r="C678" t="s">
        <v>471</v>
      </c>
    </row>
    <row r="679" spans="1:3" x14ac:dyDescent="0.25">
      <c r="A679">
        <v>678</v>
      </c>
      <c r="B679">
        <v>1599</v>
      </c>
      <c r="C679" t="s">
        <v>472</v>
      </c>
    </row>
    <row r="680" spans="1:3" x14ac:dyDescent="0.25">
      <c r="A680">
        <v>679</v>
      </c>
      <c r="B680">
        <v>2756</v>
      </c>
      <c r="C680" t="s">
        <v>473</v>
      </c>
    </row>
    <row r="681" spans="1:3" x14ac:dyDescent="0.25">
      <c r="A681">
        <v>680</v>
      </c>
      <c r="B681">
        <v>5276</v>
      </c>
      <c r="C681" t="s">
        <v>474</v>
      </c>
    </row>
    <row r="682" spans="1:3" x14ac:dyDescent="0.25">
      <c r="A682">
        <v>681</v>
      </c>
      <c r="B682">
        <v>3349</v>
      </c>
      <c r="C682" t="s">
        <v>475</v>
      </c>
    </row>
    <row r="683" spans="1:3" x14ac:dyDescent="0.25">
      <c r="A683">
        <v>682</v>
      </c>
      <c r="B683">
        <v>1813</v>
      </c>
      <c r="C683" t="s">
        <v>476</v>
      </c>
    </row>
    <row r="684" spans="1:3" x14ac:dyDescent="0.25">
      <c r="A684">
        <v>683</v>
      </c>
      <c r="B684">
        <v>8420</v>
      </c>
      <c r="C684" t="s">
        <v>477</v>
      </c>
    </row>
    <row r="685" spans="1:3" x14ac:dyDescent="0.25">
      <c r="A685">
        <v>684</v>
      </c>
      <c r="B685">
        <v>6763</v>
      </c>
      <c r="C685" t="s">
        <v>478</v>
      </c>
    </row>
    <row r="686" spans="1:3" x14ac:dyDescent="0.25">
      <c r="A686">
        <v>685</v>
      </c>
      <c r="B686">
        <v>8908</v>
      </c>
      <c r="C686" t="s">
        <v>479</v>
      </c>
    </row>
    <row r="687" spans="1:3" x14ac:dyDescent="0.25">
      <c r="A687">
        <v>686</v>
      </c>
      <c r="B687">
        <v>5543</v>
      </c>
      <c r="C687" t="s">
        <v>480</v>
      </c>
    </row>
    <row r="688" spans="1:3" x14ac:dyDescent="0.25">
      <c r="A688">
        <v>687</v>
      </c>
      <c r="B688">
        <v>4577</v>
      </c>
      <c r="C688" t="s">
        <v>481</v>
      </c>
    </row>
    <row r="689" spans="1:3" x14ac:dyDescent="0.25">
      <c r="A689">
        <v>688</v>
      </c>
      <c r="B689">
        <v>4433</v>
      </c>
      <c r="C689" t="s">
        <v>482</v>
      </c>
    </row>
    <row r="690" spans="1:3" x14ac:dyDescent="0.25">
      <c r="A690">
        <v>689</v>
      </c>
      <c r="B690">
        <v>4131</v>
      </c>
      <c r="C690" t="s">
        <v>483</v>
      </c>
    </row>
    <row r="691" spans="1:3" x14ac:dyDescent="0.25">
      <c r="A691">
        <v>690</v>
      </c>
      <c r="B691">
        <v>6590</v>
      </c>
      <c r="C691" t="s">
        <v>484</v>
      </c>
    </row>
    <row r="692" spans="1:3" x14ac:dyDescent="0.25">
      <c r="A692">
        <v>691</v>
      </c>
      <c r="B692">
        <v>5220</v>
      </c>
      <c r="C692" t="s">
        <v>485</v>
      </c>
    </row>
    <row r="693" spans="1:3" x14ac:dyDescent="0.25">
      <c r="A693">
        <v>692</v>
      </c>
      <c r="B693">
        <v>4528</v>
      </c>
      <c r="C693" t="s">
        <v>486</v>
      </c>
    </row>
    <row r="694" spans="1:3" x14ac:dyDescent="0.25">
      <c r="A694">
        <v>693</v>
      </c>
      <c r="B694">
        <v>8455</v>
      </c>
      <c r="C694" t="s">
        <v>487</v>
      </c>
    </row>
    <row r="695" spans="1:3" x14ac:dyDescent="0.25">
      <c r="A695">
        <v>694</v>
      </c>
      <c r="B695">
        <v>2724</v>
      </c>
      <c r="C695" t="s">
        <v>488</v>
      </c>
    </row>
    <row r="696" spans="1:3" x14ac:dyDescent="0.25">
      <c r="A696">
        <v>695</v>
      </c>
      <c r="B696">
        <v>4175</v>
      </c>
      <c r="C696" t="s">
        <v>489</v>
      </c>
    </row>
    <row r="697" spans="1:3" x14ac:dyDescent="0.25">
      <c r="A697">
        <v>696</v>
      </c>
      <c r="B697">
        <v>6899</v>
      </c>
      <c r="C697" t="s">
        <v>490</v>
      </c>
    </row>
    <row r="698" spans="1:3" x14ac:dyDescent="0.25">
      <c r="A698">
        <v>697</v>
      </c>
      <c r="B698">
        <v>6210</v>
      </c>
      <c r="C698" t="s">
        <v>491</v>
      </c>
    </row>
    <row r="699" spans="1:3" x14ac:dyDescent="0.25">
      <c r="A699">
        <v>698</v>
      </c>
      <c r="B699">
        <v>6154</v>
      </c>
      <c r="C699" t="s">
        <v>492</v>
      </c>
    </row>
    <row r="700" spans="1:3" x14ac:dyDescent="0.25">
      <c r="A700">
        <v>699</v>
      </c>
      <c r="B700">
        <v>5228</v>
      </c>
      <c r="C700" t="s">
        <v>493</v>
      </c>
    </row>
    <row r="701" spans="1:3" x14ac:dyDescent="0.25">
      <c r="A701">
        <v>700</v>
      </c>
      <c r="B701">
        <v>3191</v>
      </c>
      <c r="C701" t="s">
        <v>494</v>
      </c>
    </row>
    <row r="702" spans="1:3" x14ac:dyDescent="0.25">
      <c r="A702">
        <v>701</v>
      </c>
      <c r="B702">
        <v>6195</v>
      </c>
      <c r="C702" t="s">
        <v>495</v>
      </c>
    </row>
    <row r="703" spans="1:3" x14ac:dyDescent="0.25">
      <c r="A703">
        <v>702</v>
      </c>
      <c r="B703">
        <v>5013</v>
      </c>
      <c r="C703" t="s">
        <v>496</v>
      </c>
    </row>
    <row r="704" spans="1:3" x14ac:dyDescent="0.25">
      <c r="A704">
        <v>703</v>
      </c>
      <c r="B704">
        <v>4154</v>
      </c>
      <c r="C704" t="s">
        <v>497</v>
      </c>
    </row>
    <row r="705" spans="1:3" x14ac:dyDescent="0.25">
      <c r="A705">
        <v>704</v>
      </c>
      <c r="B705">
        <v>5348</v>
      </c>
      <c r="C705" t="s">
        <v>498</v>
      </c>
    </row>
    <row r="706" spans="1:3" x14ac:dyDescent="0.25">
      <c r="A706">
        <v>705</v>
      </c>
      <c r="B706">
        <v>6212</v>
      </c>
      <c r="C706" t="s">
        <v>499</v>
      </c>
    </row>
    <row r="707" spans="1:3" x14ac:dyDescent="0.25">
      <c r="A707">
        <v>706</v>
      </c>
      <c r="B707">
        <v>5902</v>
      </c>
      <c r="C707" t="s">
        <v>500</v>
      </c>
    </row>
    <row r="708" spans="1:3" x14ac:dyDescent="0.25">
      <c r="A708">
        <v>707</v>
      </c>
      <c r="B708">
        <v>5212</v>
      </c>
      <c r="C708" t="s">
        <v>501</v>
      </c>
    </row>
    <row r="709" spans="1:3" x14ac:dyDescent="0.25">
      <c r="A709">
        <v>708</v>
      </c>
      <c r="B709">
        <v>4745</v>
      </c>
      <c r="C709" t="s">
        <v>502</v>
      </c>
    </row>
    <row r="710" spans="1:3" x14ac:dyDescent="0.25">
      <c r="A710">
        <v>709</v>
      </c>
      <c r="B710">
        <v>8444</v>
      </c>
      <c r="C710" t="s">
        <v>503</v>
      </c>
    </row>
    <row r="711" spans="1:3" x14ac:dyDescent="0.25">
      <c r="A711">
        <v>710</v>
      </c>
      <c r="B711">
        <v>4502</v>
      </c>
      <c r="C711" t="s">
        <v>504</v>
      </c>
    </row>
    <row r="712" spans="1:3" x14ac:dyDescent="0.25">
      <c r="A712">
        <v>711</v>
      </c>
      <c r="B712">
        <v>6527</v>
      </c>
      <c r="C712" t="s">
        <v>505</v>
      </c>
    </row>
    <row r="713" spans="1:3" x14ac:dyDescent="0.25">
      <c r="A713">
        <v>712</v>
      </c>
      <c r="B713">
        <v>4584</v>
      </c>
      <c r="C713" t="s">
        <v>506</v>
      </c>
    </row>
    <row r="714" spans="1:3" x14ac:dyDescent="0.25">
      <c r="A714">
        <v>713</v>
      </c>
      <c r="B714">
        <v>8291</v>
      </c>
      <c r="C714" t="s">
        <v>507</v>
      </c>
    </row>
    <row r="715" spans="1:3" x14ac:dyDescent="0.25">
      <c r="A715">
        <v>714</v>
      </c>
      <c r="B715">
        <v>4767</v>
      </c>
      <c r="C715" t="s">
        <v>508</v>
      </c>
    </row>
    <row r="716" spans="1:3" x14ac:dyDescent="0.25">
      <c r="A716">
        <v>715</v>
      </c>
      <c r="B716">
        <v>4806</v>
      </c>
      <c r="C716" t="s">
        <v>509</v>
      </c>
    </row>
    <row r="717" spans="1:3" x14ac:dyDescent="0.25">
      <c r="A717">
        <v>716</v>
      </c>
      <c r="B717">
        <v>9960</v>
      </c>
      <c r="C717" t="s">
        <v>510</v>
      </c>
    </row>
    <row r="718" spans="1:3" x14ac:dyDescent="0.25">
      <c r="A718">
        <v>717</v>
      </c>
      <c r="B718">
        <v>8042</v>
      </c>
      <c r="C718" t="s">
        <v>511</v>
      </c>
    </row>
    <row r="719" spans="1:3" x14ac:dyDescent="0.25">
      <c r="A719">
        <v>718</v>
      </c>
      <c r="B719">
        <v>2067</v>
      </c>
      <c r="C719" t="s">
        <v>512</v>
      </c>
    </row>
    <row r="720" spans="1:3" x14ac:dyDescent="0.25">
      <c r="A720">
        <v>719</v>
      </c>
      <c r="B720">
        <v>6649</v>
      </c>
      <c r="C720" t="s">
        <v>513</v>
      </c>
    </row>
    <row r="721" spans="1:3" x14ac:dyDescent="0.25">
      <c r="A721">
        <v>720</v>
      </c>
      <c r="B721">
        <v>2926</v>
      </c>
      <c r="C721" t="s">
        <v>514</v>
      </c>
    </row>
    <row r="722" spans="1:3" x14ac:dyDescent="0.25">
      <c r="A722">
        <v>721</v>
      </c>
      <c r="B722">
        <v>8066</v>
      </c>
      <c r="C722" t="s">
        <v>515</v>
      </c>
    </row>
    <row r="723" spans="1:3" x14ac:dyDescent="0.25">
      <c r="A723">
        <v>722</v>
      </c>
      <c r="B723">
        <v>6767</v>
      </c>
      <c r="C723" t="s">
        <v>516</v>
      </c>
    </row>
    <row r="724" spans="1:3" x14ac:dyDescent="0.25">
      <c r="A724">
        <v>723</v>
      </c>
      <c r="B724">
        <v>2726</v>
      </c>
      <c r="C724" t="s">
        <v>517</v>
      </c>
    </row>
    <row r="725" spans="1:3" x14ac:dyDescent="0.25">
      <c r="A725">
        <v>724</v>
      </c>
      <c r="B725">
        <v>3531</v>
      </c>
      <c r="C725" t="s">
        <v>518</v>
      </c>
    </row>
    <row r="726" spans="1:3" x14ac:dyDescent="0.25">
      <c r="A726">
        <v>725</v>
      </c>
      <c r="B726">
        <v>6516</v>
      </c>
      <c r="C726" t="s">
        <v>519</v>
      </c>
    </row>
    <row r="727" spans="1:3" x14ac:dyDescent="0.25">
      <c r="A727">
        <v>726</v>
      </c>
      <c r="B727">
        <v>6144</v>
      </c>
      <c r="C727" t="s">
        <v>520</v>
      </c>
    </row>
    <row r="728" spans="1:3" x14ac:dyDescent="0.25">
      <c r="A728">
        <v>727</v>
      </c>
      <c r="B728">
        <v>6855</v>
      </c>
      <c r="C728" t="s">
        <v>521</v>
      </c>
    </row>
    <row r="729" spans="1:3" x14ac:dyDescent="0.25">
      <c r="A729">
        <v>728</v>
      </c>
      <c r="B729">
        <v>3310</v>
      </c>
      <c r="C729" t="s">
        <v>522</v>
      </c>
    </row>
    <row r="730" spans="1:3" x14ac:dyDescent="0.25">
      <c r="A730">
        <v>729</v>
      </c>
      <c r="B730">
        <v>6823</v>
      </c>
      <c r="C730" t="s">
        <v>523</v>
      </c>
    </row>
    <row r="731" spans="1:3" x14ac:dyDescent="0.25">
      <c r="A731">
        <v>730</v>
      </c>
      <c r="B731">
        <v>8284</v>
      </c>
      <c r="C731" t="s">
        <v>524</v>
      </c>
    </row>
    <row r="732" spans="1:3" x14ac:dyDescent="0.25">
      <c r="A732">
        <v>731</v>
      </c>
      <c r="B732">
        <v>4911</v>
      </c>
      <c r="C732" t="s">
        <v>525</v>
      </c>
    </row>
    <row r="733" spans="1:3" x14ac:dyDescent="0.25">
      <c r="A733">
        <v>732</v>
      </c>
      <c r="B733">
        <v>6221</v>
      </c>
      <c r="C733" t="s">
        <v>526</v>
      </c>
    </row>
    <row r="734" spans="1:3" x14ac:dyDescent="0.25">
      <c r="A734">
        <v>733</v>
      </c>
      <c r="B734">
        <v>6840</v>
      </c>
      <c r="C734" t="s">
        <v>527</v>
      </c>
    </row>
    <row r="735" spans="1:3" x14ac:dyDescent="0.25">
      <c r="A735">
        <v>734</v>
      </c>
      <c r="B735">
        <v>4139</v>
      </c>
      <c r="C735" t="s">
        <v>528</v>
      </c>
    </row>
    <row r="736" spans="1:3" x14ac:dyDescent="0.25">
      <c r="A736">
        <v>735</v>
      </c>
      <c r="B736">
        <v>2064</v>
      </c>
      <c r="C736" t="s">
        <v>529</v>
      </c>
    </row>
    <row r="737" spans="1:3" x14ac:dyDescent="0.25">
      <c r="A737">
        <v>736</v>
      </c>
      <c r="B737">
        <v>6859</v>
      </c>
      <c r="C737" t="s">
        <v>530</v>
      </c>
    </row>
    <row r="738" spans="1:3" x14ac:dyDescent="0.25">
      <c r="A738">
        <v>737</v>
      </c>
      <c r="B738">
        <v>4419</v>
      </c>
      <c r="C738" t="s">
        <v>531</v>
      </c>
    </row>
    <row r="739" spans="1:3" x14ac:dyDescent="0.25">
      <c r="A739">
        <v>738</v>
      </c>
      <c r="B739">
        <v>6844</v>
      </c>
      <c r="C739" t="s">
        <v>532</v>
      </c>
    </row>
    <row r="740" spans="1:3" x14ac:dyDescent="0.25">
      <c r="A740">
        <v>739</v>
      </c>
      <c r="B740">
        <v>1240</v>
      </c>
      <c r="C740" t="s">
        <v>533</v>
      </c>
    </row>
    <row r="741" spans="1:3" x14ac:dyDescent="0.25">
      <c r="A741">
        <v>740</v>
      </c>
      <c r="B741">
        <v>8416</v>
      </c>
      <c r="C741" t="s">
        <v>534</v>
      </c>
    </row>
    <row r="742" spans="1:3" x14ac:dyDescent="0.25">
      <c r="A742">
        <v>741</v>
      </c>
      <c r="B742">
        <v>8067</v>
      </c>
      <c r="C742" t="s">
        <v>535</v>
      </c>
    </row>
    <row r="743" spans="1:3" x14ac:dyDescent="0.25">
      <c r="A743">
        <v>742</v>
      </c>
      <c r="B743">
        <v>6929</v>
      </c>
      <c r="C743" t="s">
        <v>536</v>
      </c>
    </row>
    <row r="744" spans="1:3" x14ac:dyDescent="0.25">
      <c r="A744">
        <v>743</v>
      </c>
      <c r="B744">
        <v>4987</v>
      </c>
      <c r="C744" t="s">
        <v>537</v>
      </c>
    </row>
    <row r="745" spans="1:3" x14ac:dyDescent="0.25">
      <c r="A745">
        <v>744</v>
      </c>
      <c r="B745">
        <v>2221</v>
      </c>
      <c r="C745" t="s">
        <v>538</v>
      </c>
    </row>
    <row r="746" spans="1:3" x14ac:dyDescent="0.25">
      <c r="A746">
        <v>745</v>
      </c>
      <c r="B746">
        <v>4205</v>
      </c>
      <c r="C746" t="s">
        <v>539</v>
      </c>
    </row>
    <row r="747" spans="1:3" x14ac:dyDescent="0.25">
      <c r="A747">
        <v>746</v>
      </c>
      <c r="B747">
        <v>4442</v>
      </c>
      <c r="C747" t="s">
        <v>540</v>
      </c>
    </row>
    <row r="748" spans="1:3" x14ac:dyDescent="0.25">
      <c r="A748">
        <v>747</v>
      </c>
      <c r="B748">
        <v>1788</v>
      </c>
      <c r="C748" t="s">
        <v>541</v>
      </c>
    </row>
    <row r="749" spans="1:3" x14ac:dyDescent="0.25">
      <c r="A749">
        <v>748</v>
      </c>
      <c r="B749">
        <v>1593</v>
      </c>
      <c r="C749" t="s">
        <v>542</v>
      </c>
    </row>
    <row r="750" spans="1:3" x14ac:dyDescent="0.25">
      <c r="A750">
        <v>749</v>
      </c>
      <c r="B750">
        <v>4609</v>
      </c>
      <c r="C750" t="s">
        <v>543</v>
      </c>
    </row>
    <row r="751" spans="1:3" x14ac:dyDescent="0.25">
      <c r="A751">
        <v>750</v>
      </c>
      <c r="B751">
        <v>3632</v>
      </c>
      <c r="C751" t="s">
        <v>544</v>
      </c>
    </row>
    <row r="752" spans="1:3" x14ac:dyDescent="0.25">
      <c r="A752">
        <v>751</v>
      </c>
      <c r="B752">
        <v>6865</v>
      </c>
      <c r="C752" t="s">
        <v>545</v>
      </c>
    </row>
    <row r="753" spans="1:3" x14ac:dyDescent="0.25">
      <c r="A753">
        <v>752</v>
      </c>
      <c r="B753">
        <v>4712</v>
      </c>
      <c r="C753" t="s">
        <v>546</v>
      </c>
    </row>
    <row r="754" spans="1:3" x14ac:dyDescent="0.25">
      <c r="A754">
        <v>753</v>
      </c>
      <c r="B754">
        <v>8941</v>
      </c>
      <c r="C754" t="s">
        <v>547</v>
      </c>
    </row>
    <row r="755" spans="1:3" x14ac:dyDescent="0.25">
      <c r="A755">
        <v>754</v>
      </c>
      <c r="B755">
        <v>6728</v>
      </c>
      <c r="C755" t="s">
        <v>548</v>
      </c>
    </row>
    <row r="756" spans="1:3" x14ac:dyDescent="0.25">
      <c r="A756">
        <v>755</v>
      </c>
      <c r="B756">
        <v>6662</v>
      </c>
      <c r="C756" t="s">
        <v>549</v>
      </c>
    </row>
    <row r="757" spans="1:3" x14ac:dyDescent="0.25">
      <c r="A757">
        <v>756</v>
      </c>
      <c r="B757">
        <v>6791</v>
      </c>
      <c r="C757" t="s">
        <v>550</v>
      </c>
    </row>
    <row r="758" spans="1:3" x14ac:dyDescent="0.25">
      <c r="A758">
        <v>757</v>
      </c>
      <c r="B758">
        <v>4192</v>
      </c>
      <c r="C758" t="s">
        <v>551</v>
      </c>
    </row>
    <row r="759" spans="1:3" x14ac:dyDescent="0.25">
      <c r="A759">
        <v>758</v>
      </c>
      <c r="B759">
        <v>4530</v>
      </c>
      <c r="C759" t="s">
        <v>552</v>
      </c>
    </row>
    <row r="760" spans="1:3" x14ac:dyDescent="0.25">
      <c r="A760">
        <v>759</v>
      </c>
      <c r="B760">
        <v>7556</v>
      </c>
      <c r="C760" t="s">
        <v>553</v>
      </c>
    </row>
    <row r="761" spans="1:3" x14ac:dyDescent="0.25">
      <c r="A761">
        <v>760</v>
      </c>
      <c r="B761">
        <v>6542</v>
      </c>
      <c r="C761" t="s">
        <v>554</v>
      </c>
    </row>
    <row r="762" spans="1:3" x14ac:dyDescent="0.25">
      <c r="A762">
        <v>761</v>
      </c>
      <c r="B762">
        <v>5455</v>
      </c>
      <c r="C762" t="s">
        <v>555</v>
      </c>
    </row>
    <row r="763" spans="1:3" x14ac:dyDescent="0.25">
      <c r="A763">
        <v>762</v>
      </c>
      <c r="B763">
        <v>4305</v>
      </c>
      <c r="C763" t="s">
        <v>556</v>
      </c>
    </row>
    <row r="764" spans="1:3" x14ac:dyDescent="0.25">
      <c r="A764">
        <v>763</v>
      </c>
      <c r="B764">
        <v>6708</v>
      </c>
      <c r="C764" t="s">
        <v>557</v>
      </c>
    </row>
    <row r="765" spans="1:3" x14ac:dyDescent="0.25">
      <c r="A765">
        <v>764</v>
      </c>
      <c r="B765">
        <v>5345</v>
      </c>
      <c r="C765" t="s">
        <v>558</v>
      </c>
    </row>
    <row r="766" spans="1:3" x14ac:dyDescent="0.25">
      <c r="A766">
        <v>765</v>
      </c>
      <c r="B766">
        <v>6242</v>
      </c>
      <c r="C766" t="s">
        <v>559</v>
      </c>
    </row>
    <row r="767" spans="1:3" x14ac:dyDescent="0.25">
      <c r="A767">
        <v>766</v>
      </c>
      <c r="B767">
        <v>8917</v>
      </c>
      <c r="C767" t="s">
        <v>560</v>
      </c>
    </row>
    <row r="768" spans="1:3" x14ac:dyDescent="0.25">
      <c r="A768">
        <v>767</v>
      </c>
      <c r="B768">
        <v>2949</v>
      </c>
      <c r="C768" t="s">
        <v>561</v>
      </c>
    </row>
    <row r="769" spans="1:3" x14ac:dyDescent="0.25">
      <c r="A769">
        <v>768</v>
      </c>
      <c r="B769">
        <v>6654</v>
      </c>
      <c r="C769" t="s">
        <v>562</v>
      </c>
    </row>
    <row r="770" spans="1:3" x14ac:dyDescent="0.25">
      <c r="A770">
        <v>769</v>
      </c>
      <c r="B770">
        <v>7584</v>
      </c>
      <c r="C770" t="s">
        <v>563</v>
      </c>
    </row>
    <row r="771" spans="1:3" x14ac:dyDescent="0.25">
      <c r="A771">
        <v>770</v>
      </c>
      <c r="B771">
        <v>2755</v>
      </c>
      <c r="C771" t="s">
        <v>564</v>
      </c>
    </row>
    <row r="772" spans="1:3" x14ac:dyDescent="0.25">
      <c r="A772">
        <v>771</v>
      </c>
      <c r="B772">
        <v>2235</v>
      </c>
      <c r="C772" t="s">
        <v>565</v>
      </c>
    </row>
    <row r="773" spans="1:3" x14ac:dyDescent="0.25">
      <c r="A773">
        <v>772</v>
      </c>
      <c r="B773">
        <v>3226</v>
      </c>
      <c r="C773" t="s">
        <v>566</v>
      </c>
    </row>
    <row r="774" spans="1:3" x14ac:dyDescent="0.25">
      <c r="A774">
        <v>773</v>
      </c>
      <c r="B774">
        <v>6020</v>
      </c>
      <c r="C774" t="s">
        <v>567</v>
      </c>
    </row>
    <row r="775" spans="1:3" x14ac:dyDescent="0.25">
      <c r="A775">
        <v>774</v>
      </c>
      <c r="B775">
        <v>8923</v>
      </c>
      <c r="C775" t="s">
        <v>568</v>
      </c>
    </row>
    <row r="776" spans="1:3" x14ac:dyDescent="0.25">
      <c r="A776">
        <v>775</v>
      </c>
      <c r="B776">
        <v>8032</v>
      </c>
      <c r="C776" t="s">
        <v>569</v>
      </c>
    </row>
    <row r="777" spans="1:3" x14ac:dyDescent="0.25">
      <c r="A777">
        <v>776</v>
      </c>
      <c r="B777">
        <v>2073</v>
      </c>
      <c r="C777" t="s">
        <v>570</v>
      </c>
    </row>
    <row r="778" spans="1:3" x14ac:dyDescent="0.25">
      <c r="A778">
        <v>777</v>
      </c>
      <c r="B778">
        <v>4430</v>
      </c>
      <c r="C778" t="s">
        <v>571</v>
      </c>
    </row>
    <row r="779" spans="1:3" x14ac:dyDescent="0.25">
      <c r="A779">
        <v>778</v>
      </c>
      <c r="B779">
        <v>6624</v>
      </c>
      <c r="C779" t="s">
        <v>572</v>
      </c>
    </row>
    <row r="780" spans="1:3" x14ac:dyDescent="0.25">
      <c r="A780">
        <v>779</v>
      </c>
      <c r="B780">
        <v>4946</v>
      </c>
      <c r="C780" t="s">
        <v>573</v>
      </c>
    </row>
    <row r="781" spans="1:3" x14ac:dyDescent="0.25">
      <c r="A781">
        <v>780</v>
      </c>
      <c r="B781">
        <v>4416</v>
      </c>
      <c r="C781" t="s">
        <v>574</v>
      </c>
    </row>
    <row r="782" spans="1:3" x14ac:dyDescent="0.25">
      <c r="A782">
        <v>781</v>
      </c>
      <c r="B782">
        <v>4568</v>
      </c>
      <c r="C782" t="s">
        <v>575</v>
      </c>
    </row>
    <row r="783" spans="1:3" x14ac:dyDescent="0.25">
      <c r="A783">
        <v>782</v>
      </c>
      <c r="B783">
        <v>3465</v>
      </c>
      <c r="C783" t="s">
        <v>576</v>
      </c>
    </row>
    <row r="784" spans="1:3" x14ac:dyDescent="0.25">
      <c r="A784">
        <v>783</v>
      </c>
      <c r="B784">
        <v>6747</v>
      </c>
      <c r="C784" t="s">
        <v>577</v>
      </c>
    </row>
    <row r="785" spans="1:3" x14ac:dyDescent="0.25">
      <c r="A785">
        <v>784</v>
      </c>
      <c r="B785">
        <v>6846</v>
      </c>
      <c r="C785" t="s">
        <v>578</v>
      </c>
    </row>
    <row r="786" spans="1:3" x14ac:dyDescent="0.25">
      <c r="A786">
        <v>785</v>
      </c>
      <c r="B786">
        <v>6751</v>
      </c>
      <c r="C786" t="s">
        <v>579</v>
      </c>
    </row>
    <row r="787" spans="1:3" x14ac:dyDescent="0.25">
      <c r="A787">
        <v>786</v>
      </c>
      <c r="B787">
        <v>3064</v>
      </c>
      <c r="C787" t="s">
        <v>580</v>
      </c>
    </row>
    <row r="788" spans="1:3" x14ac:dyDescent="0.25">
      <c r="A788">
        <v>787</v>
      </c>
      <c r="B788">
        <v>6968</v>
      </c>
      <c r="C788" t="s">
        <v>581</v>
      </c>
    </row>
    <row r="789" spans="1:3" x14ac:dyDescent="0.25">
      <c r="A789">
        <v>788</v>
      </c>
      <c r="B789">
        <v>6574</v>
      </c>
      <c r="C789" t="s">
        <v>582</v>
      </c>
    </row>
    <row r="790" spans="1:3" x14ac:dyDescent="0.25">
      <c r="A790">
        <v>789</v>
      </c>
      <c r="B790">
        <v>3684</v>
      </c>
      <c r="C790" t="s">
        <v>583</v>
      </c>
    </row>
    <row r="791" spans="1:3" x14ac:dyDescent="0.25">
      <c r="A791">
        <v>790</v>
      </c>
      <c r="B791">
        <v>6904</v>
      </c>
      <c r="C791" t="s">
        <v>584</v>
      </c>
    </row>
    <row r="792" spans="1:3" x14ac:dyDescent="0.25">
      <c r="A792">
        <v>791</v>
      </c>
      <c r="B792">
        <v>8424</v>
      </c>
      <c r="C792" t="s">
        <v>585</v>
      </c>
    </row>
    <row r="793" spans="1:3" x14ac:dyDescent="0.25">
      <c r="A793">
        <v>792</v>
      </c>
      <c r="B793">
        <v>8342</v>
      </c>
      <c r="C793" t="s">
        <v>586</v>
      </c>
    </row>
    <row r="794" spans="1:3" x14ac:dyDescent="0.25">
      <c r="A794">
        <v>793</v>
      </c>
      <c r="B794">
        <v>5278</v>
      </c>
      <c r="C794" t="s">
        <v>587</v>
      </c>
    </row>
    <row r="795" spans="1:3" x14ac:dyDescent="0.25">
      <c r="A795">
        <v>794</v>
      </c>
      <c r="B795">
        <v>8472</v>
      </c>
      <c r="C795" t="s">
        <v>588</v>
      </c>
    </row>
    <row r="796" spans="1:3" x14ac:dyDescent="0.25">
      <c r="A796">
        <v>795</v>
      </c>
      <c r="B796">
        <v>3426</v>
      </c>
      <c r="C796" t="s">
        <v>589</v>
      </c>
    </row>
    <row r="797" spans="1:3" x14ac:dyDescent="0.25">
      <c r="A797">
        <v>796</v>
      </c>
      <c r="B797">
        <v>3115</v>
      </c>
      <c r="C797" t="s">
        <v>590</v>
      </c>
    </row>
    <row r="798" spans="1:3" x14ac:dyDescent="0.25">
      <c r="A798">
        <v>797</v>
      </c>
      <c r="B798">
        <v>2035</v>
      </c>
      <c r="C798" t="s">
        <v>591</v>
      </c>
    </row>
    <row r="799" spans="1:3" x14ac:dyDescent="0.25">
      <c r="A799">
        <v>798</v>
      </c>
      <c r="B799">
        <v>3629</v>
      </c>
      <c r="C799" t="s">
        <v>592</v>
      </c>
    </row>
    <row r="800" spans="1:3" x14ac:dyDescent="0.25">
      <c r="A800">
        <v>799</v>
      </c>
      <c r="B800">
        <v>5205</v>
      </c>
      <c r="C800" t="s">
        <v>593</v>
      </c>
    </row>
    <row r="801" spans="1:3" x14ac:dyDescent="0.25">
      <c r="A801">
        <v>800</v>
      </c>
      <c r="B801">
        <v>6856</v>
      </c>
      <c r="C801" t="s">
        <v>594</v>
      </c>
    </row>
    <row r="802" spans="1:3" x14ac:dyDescent="0.25">
      <c r="A802">
        <v>801</v>
      </c>
      <c r="B802">
        <v>6721</v>
      </c>
      <c r="C802" t="s">
        <v>595</v>
      </c>
    </row>
    <row r="803" spans="1:3" x14ac:dyDescent="0.25">
      <c r="A803">
        <v>802</v>
      </c>
      <c r="B803">
        <v>2937</v>
      </c>
      <c r="C803" t="s">
        <v>596</v>
      </c>
    </row>
    <row r="804" spans="1:3" x14ac:dyDescent="0.25">
      <c r="A804">
        <v>803</v>
      </c>
      <c r="B804">
        <v>8077</v>
      </c>
      <c r="C804" t="s">
        <v>597</v>
      </c>
    </row>
    <row r="805" spans="1:3" x14ac:dyDescent="0.25">
      <c r="A805">
        <v>804</v>
      </c>
      <c r="B805">
        <v>2948</v>
      </c>
      <c r="C805" t="s">
        <v>598</v>
      </c>
    </row>
    <row r="806" spans="1:3" x14ac:dyDescent="0.25">
      <c r="A806">
        <v>805</v>
      </c>
      <c r="B806">
        <v>3332</v>
      </c>
      <c r="C806" t="s">
        <v>599</v>
      </c>
    </row>
    <row r="807" spans="1:3" x14ac:dyDescent="0.25">
      <c r="A807">
        <v>806</v>
      </c>
      <c r="B807">
        <v>6843</v>
      </c>
      <c r="C807" t="s">
        <v>600</v>
      </c>
    </row>
    <row r="808" spans="1:3" x14ac:dyDescent="0.25">
      <c r="A808">
        <v>807</v>
      </c>
      <c r="B808">
        <v>5520</v>
      </c>
      <c r="C808" t="s">
        <v>601</v>
      </c>
    </row>
    <row r="809" spans="1:3" x14ac:dyDescent="0.25">
      <c r="A809">
        <v>808</v>
      </c>
      <c r="B809">
        <v>8921</v>
      </c>
      <c r="C809" t="s">
        <v>602</v>
      </c>
    </row>
    <row r="810" spans="1:3" x14ac:dyDescent="0.25">
      <c r="A810">
        <v>809</v>
      </c>
      <c r="B810">
        <v>1259</v>
      </c>
      <c r="C810" t="s">
        <v>603</v>
      </c>
    </row>
    <row r="811" spans="1:3" x14ac:dyDescent="0.25">
      <c r="A811">
        <v>810</v>
      </c>
      <c r="B811">
        <v>3085</v>
      </c>
      <c r="C811" t="s">
        <v>604</v>
      </c>
    </row>
    <row r="812" spans="1:3" x14ac:dyDescent="0.25">
      <c r="A812">
        <v>811</v>
      </c>
      <c r="B812">
        <v>2941</v>
      </c>
      <c r="C812" t="s">
        <v>605</v>
      </c>
    </row>
    <row r="813" spans="1:3" x14ac:dyDescent="0.25">
      <c r="A813">
        <v>812</v>
      </c>
      <c r="B813">
        <v>2947</v>
      </c>
      <c r="C813" t="s">
        <v>606</v>
      </c>
    </row>
    <row r="814" spans="1:3" x14ac:dyDescent="0.25">
      <c r="A814">
        <v>813</v>
      </c>
      <c r="B814">
        <v>5016</v>
      </c>
      <c r="C814" t="s">
        <v>607</v>
      </c>
    </row>
    <row r="815" spans="1:3" x14ac:dyDescent="0.25">
      <c r="A815">
        <v>814</v>
      </c>
      <c r="B815">
        <v>1264</v>
      </c>
      <c r="C815" t="s">
        <v>608</v>
      </c>
    </row>
    <row r="816" spans="1:3" x14ac:dyDescent="0.25">
      <c r="A816">
        <v>815</v>
      </c>
      <c r="B816">
        <v>3067</v>
      </c>
      <c r="C816" t="s">
        <v>609</v>
      </c>
    </row>
    <row r="817" spans="1:3" x14ac:dyDescent="0.25">
      <c r="A817">
        <v>816</v>
      </c>
      <c r="B817">
        <v>5878</v>
      </c>
      <c r="C817" t="s">
        <v>610</v>
      </c>
    </row>
    <row r="818" spans="1:3" x14ac:dyDescent="0.25">
      <c r="A818">
        <v>817</v>
      </c>
      <c r="B818">
        <v>6739</v>
      </c>
      <c r="C818" t="s">
        <v>611</v>
      </c>
    </row>
    <row r="819" spans="1:3" x14ac:dyDescent="0.25">
      <c r="A819">
        <v>818</v>
      </c>
      <c r="B819">
        <v>8279</v>
      </c>
      <c r="C819" t="s">
        <v>612</v>
      </c>
    </row>
    <row r="820" spans="1:3" x14ac:dyDescent="0.25">
      <c r="A820">
        <v>819</v>
      </c>
      <c r="B820">
        <v>6881</v>
      </c>
      <c r="C820" t="s">
        <v>613</v>
      </c>
    </row>
    <row r="821" spans="1:3" x14ac:dyDescent="0.25">
      <c r="A821">
        <v>820</v>
      </c>
      <c r="B821">
        <v>2924</v>
      </c>
      <c r="C821" t="s">
        <v>614</v>
      </c>
    </row>
    <row r="822" spans="1:3" x14ac:dyDescent="0.25">
      <c r="A822">
        <v>821</v>
      </c>
      <c r="B822">
        <v>6680</v>
      </c>
      <c r="C822" t="s">
        <v>615</v>
      </c>
    </row>
    <row r="823" spans="1:3" x14ac:dyDescent="0.25">
      <c r="A823">
        <v>822</v>
      </c>
      <c r="B823">
        <v>2752</v>
      </c>
      <c r="C823" t="s">
        <v>616</v>
      </c>
    </row>
    <row r="824" spans="1:3" x14ac:dyDescent="0.25">
      <c r="A824">
        <v>823</v>
      </c>
      <c r="B824" t="s">
        <v>617</v>
      </c>
      <c r="C824" t="s">
        <v>618</v>
      </c>
    </row>
    <row r="825" spans="1:3" x14ac:dyDescent="0.25">
      <c r="A825">
        <v>824</v>
      </c>
      <c r="B825">
        <v>6287</v>
      </c>
      <c r="C825" t="s">
        <v>619</v>
      </c>
    </row>
    <row r="826" spans="1:3" x14ac:dyDescent="0.25">
      <c r="A826">
        <v>825</v>
      </c>
      <c r="B826">
        <v>6762</v>
      </c>
      <c r="C826" t="s">
        <v>620</v>
      </c>
    </row>
    <row r="827" spans="1:3" x14ac:dyDescent="0.25">
      <c r="A827">
        <v>826</v>
      </c>
      <c r="B827">
        <v>5601</v>
      </c>
      <c r="C827" t="s">
        <v>621</v>
      </c>
    </row>
    <row r="828" spans="1:3" x14ac:dyDescent="0.25">
      <c r="A828">
        <v>827</v>
      </c>
      <c r="B828">
        <v>8418</v>
      </c>
      <c r="C828" t="s">
        <v>622</v>
      </c>
    </row>
    <row r="829" spans="1:3" x14ac:dyDescent="0.25">
      <c r="A829">
        <v>828</v>
      </c>
      <c r="B829">
        <v>6236</v>
      </c>
      <c r="C829" t="s">
        <v>623</v>
      </c>
    </row>
    <row r="830" spans="1:3" x14ac:dyDescent="0.25">
      <c r="A830">
        <v>829</v>
      </c>
      <c r="B830">
        <v>2740</v>
      </c>
      <c r="C830" t="s">
        <v>624</v>
      </c>
    </row>
    <row r="831" spans="1:3" x14ac:dyDescent="0.25">
      <c r="A831">
        <v>830</v>
      </c>
      <c r="B831">
        <v>6103</v>
      </c>
      <c r="C831" t="s">
        <v>625</v>
      </c>
    </row>
    <row r="832" spans="1:3" x14ac:dyDescent="0.25">
      <c r="A832" t="s">
        <v>626</v>
      </c>
    </row>
  </sheetData>
  <phoneticPr fontId="18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SSTK_VOL_FY_113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bbxp</dc:creator>
  <cp:lastModifiedBy>Windows User</cp:lastModifiedBy>
  <dcterms:created xsi:type="dcterms:W3CDTF">2024-09-02T16:33:28Z</dcterms:created>
  <dcterms:modified xsi:type="dcterms:W3CDTF">2024-09-18T17:37:45Z</dcterms:modified>
</cp:coreProperties>
</file>